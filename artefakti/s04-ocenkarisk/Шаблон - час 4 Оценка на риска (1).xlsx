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borkonora\Desktop\laboratorii\artefakti\s04-ocenkarisk\"/>
    </mc:Choice>
  </mc:AlternateContent>
  <bookViews>
    <workbookView xWindow="0" yWindow="0" windowWidth="23040" windowHeight="8904" tabRatio="500" activeTab="2"/>
  </bookViews>
  <sheets>
    <sheet name="Инструкции" sheetId="1" r:id="rId1"/>
    <sheet name="Скали" sheetId="2" r:id="rId2"/>
    <sheet name="Регистър на активите" sheetId="3" r:id="rId3"/>
    <sheet name="Регистър на риска" sheetId="4" r:id="rId4"/>
    <sheet name="План за третиране" sheetId="5" r:id="rId5"/>
  </sheets>
  <externalReferences>
    <externalReference r:id="rId6"/>
  </externalReferenc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5" l="1"/>
  <c r="D12" i="5"/>
  <c r="D11" i="5"/>
  <c r="D10" i="5"/>
  <c r="D9" i="5"/>
  <c r="D8" i="5"/>
  <c r="D7" i="5"/>
  <c r="D6" i="5"/>
  <c r="D5" i="5"/>
  <c r="D4" i="5"/>
  <c r="D3" i="5"/>
  <c r="D2" i="5"/>
  <c r="I13" i="4"/>
  <c r="K13" i="4" s="1"/>
  <c r="J12" i="4"/>
  <c r="I12" i="4"/>
  <c r="K12" i="4" s="1"/>
  <c r="K11" i="4"/>
  <c r="J11" i="4"/>
  <c r="I11" i="4"/>
  <c r="I10" i="4"/>
  <c r="K10" i="4" s="1"/>
  <c r="I9" i="4"/>
  <c r="K9" i="4" s="1"/>
  <c r="K8" i="4"/>
  <c r="J8" i="4"/>
  <c r="I8" i="4"/>
  <c r="I7" i="4"/>
  <c r="K7" i="4" s="1"/>
  <c r="I6" i="4"/>
  <c r="K6" i="4" s="1"/>
  <c r="K5" i="4"/>
  <c r="I5" i="4"/>
  <c r="J5" i="4" s="1"/>
  <c r="J4" i="4"/>
  <c r="I4" i="4"/>
  <c r="K4" i="4" s="1"/>
  <c r="K3" i="4"/>
  <c r="J3" i="4"/>
  <c r="I3" i="4"/>
  <c r="I2" i="4"/>
  <c r="K2" i="4" s="1"/>
  <c r="J6" i="4" l="1"/>
  <c r="J9" i="4"/>
  <c r="J7" i="4"/>
  <c r="J2" i="4"/>
  <c r="J10" i="4"/>
  <c r="J13" i="4"/>
  <c r="N210" i="5"/>
  <c r="D210" i="5"/>
  <c r="N209" i="5"/>
  <c r="D209" i="5"/>
  <c r="N208" i="5"/>
  <c r="D208" i="5"/>
  <c r="N207" i="5"/>
  <c r="D207" i="5"/>
  <c r="N206" i="5"/>
  <c r="D206" i="5"/>
  <c r="N205" i="5"/>
  <c r="D205" i="5"/>
  <c r="N204" i="5"/>
  <c r="D204" i="5"/>
  <c r="N203" i="5"/>
  <c r="D203" i="5"/>
  <c r="N202" i="5"/>
  <c r="D202" i="5"/>
  <c r="N201" i="5"/>
  <c r="D201" i="5"/>
  <c r="N200" i="5"/>
  <c r="D200" i="5"/>
  <c r="N199" i="5"/>
  <c r="D199" i="5"/>
  <c r="N198" i="5"/>
  <c r="D198" i="5"/>
  <c r="N197" i="5"/>
  <c r="D197" i="5"/>
  <c r="N196" i="5"/>
  <c r="D196" i="5"/>
  <c r="N195" i="5"/>
  <c r="D195" i="5"/>
  <c r="N194" i="5"/>
  <c r="D194" i="5"/>
  <c r="N193" i="5"/>
  <c r="D193" i="5"/>
  <c r="N192" i="5"/>
  <c r="D192" i="5"/>
  <c r="N191" i="5"/>
  <c r="D191" i="5"/>
  <c r="N190" i="5"/>
  <c r="D190" i="5"/>
  <c r="N189" i="5"/>
  <c r="D189" i="5"/>
  <c r="N188" i="5"/>
  <c r="D188" i="5"/>
  <c r="N187" i="5"/>
  <c r="D187" i="5"/>
  <c r="N186" i="5"/>
  <c r="D186" i="5"/>
  <c r="N185" i="5"/>
  <c r="D185" i="5"/>
  <c r="N184" i="5"/>
  <c r="D184" i="5"/>
  <c r="N183" i="5"/>
  <c r="D183" i="5"/>
  <c r="N182" i="5"/>
  <c r="D182" i="5"/>
  <c r="N181" i="5"/>
  <c r="D181" i="5"/>
  <c r="N180" i="5"/>
  <c r="D180" i="5"/>
  <c r="N179" i="5"/>
  <c r="D179" i="5"/>
  <c r="N178" i="5"/>
  <c r="D178" i="5"/>
  <c r="N177" i="5"/>
  <c r="D177" i="5"/>
  <c r="N176" i="5"/>
  <c r="D176" i="5"/>
  <c r="N175" i="5"/>
  <c r="D175" i="5"/>
  <c r="N174" i="5"/>
  <c r="D174" i="5"/>
  <c r="N173" i="5"/>
  <c r="D173" i="5"/>
  <c r="N172" i="5"/>
  <c r="D172" i="5"/>
  <c r="N171" i="5"/>
  <c r="D171" i="5"/>
  <c r="N170" i="5"/>
  <c r="D170" i="5"/>
  <c r="N169" i="5"/>
  <c r="D169" i="5"/>
  <c r="N168" i="5"/>
  <c r="D168" i="5"/>
  <c r="N167" i="5"/>
  <c r="D167" i="5"/>
  <c r="N166" i="5"/>
  <c r="D166" i="5"/>
  <c r="N165" i="5"/>
  <c r="D165" i="5"/>
  <c r="N164" i="5"/>
  <c r="D164" i="5"/>
  <c r="N163" i="5"/>
  <c r="D163" i="5"/>
  <c r="N162" i="5"/>
  <c r="D162" i="5"/>
  <c r="N161" i="5"/>
  <c r="D161" i="5"/>
  <c r="N160" i="5"/>
  <c r="D160" i="5"/>
  <c r="N159" i="5"/>
  <c r="D159" i="5"/>
  <c r="N158" i="5"/>
  <c r="D158" i="5"/>
  <c r="N157" i="5"/>
  <c r="D157" i="5"/>
  <c r="N156" i="5"/>
  <c r="D156" i="5"/>
  <c r="N155" i="5"/>
  <c r="D155" i="5"/>
  <c r="N154" i="5"/>
  <c r="D154" i="5"/>
  <c r="N153" i="5"/>
  <c r="D153" i="5"/>
  <c r="N152" i="5"/>
  <c r="D152" i="5"/>
  <c r="N151" i="5"/>
  <c r="D151" i="5"/>
  <c r="N150" i="5"/>
  <c r="D150" i="5"/>
  <c r="N149" i="5"/>
  <c r="D149" i="5"/>
  <c r="N148" i="5"/>
  <c r="D148" i="5"/>
  <c r="N147" i="5"/>
  <c r="D147" i="5"/>
  <c r="N146" i="5"/>
  <c r="D146" i="5"/>
  <c r="N145" i="5"/>
  <c r="D145" i="5"/>
  <c r="N144" i="5"/>
  <c r="D144" i="5"/>
  <c r="N143" i="5"/>
  <c r="D143" i="5"/>
  <c r="N142" i="5"/>
  <c r="D142" i="5"/>
  <c r="N141" i="5"/>
  <c r="D141" i="5"/>
  <c r="N140" i="5"/>
  <c r="D140" i="5"/>
  <c r="N139" i="5"/>
  <c r="D139" i="5"/>
  <c r="N138" i="5"/>
  <c r="D138" i="5"/>
  <c r="N137" i="5"/>
  <c r="D137" i="5"/>
  <c r="N136" i="5"/>
  <c r="D136" i="5"/>
  <c r="N135" i="5"/>
  <c r="D135" i="5"/>
  <c r="N134" i="5"/>
  <c r="D134" i="5"/>
  <c r="N133" i="5"/>
  <c r="D133" i="5"/>
  <c r="N132" i="5"/>
  <c r="D132" i="5"/>
  <c r="N131" i="5"/>
  <c r="D131" i="5"/>
  <c r="N130" i="5"/>
  <c r="D130" i="5"/>
  <c r="N129" i="5"/>
  <c r="D129" i="5"/>
  <c r="N128" i="5"/>
  <c r="D128" i="5"/>
  <c r="N127" i="5"/>
  <c r="D127" i="5"/>
  <c r="N126" i="5"/>
  <c r="D126" i="5"/>
  <c r="N125" i="5"/>
  <c r="D125" i="5"/>
  <c r="N124" i="5"/>
  <c r="D124" i="5"/>
  <c r="N123" i="5"/>
  <c r="D123" i="5"/>
  <c r="N122" i="5"/>
  <c r="D122" i="5"/>
  <c r="N121" i="5"/>
  <c r="D121" i="5"/>
  <c r="N120" i="5"/>
  <c r="D120" i="5"/>
  <c r="N119" i="5"/>
  <c r="D119" i="5"/>
  <c r="N118" i="5"/>
  <c r="D118" i="5"/>
  <c r="N117" i="5"/>
  <c r="D117" i="5"/>
  <c r="N116" i="5"/>
  <c r="D116" i="5"/>
  <c r="N115" i="5"/>
  <c r="D115" i="5"/>
  <c r="N114" i="5"/>
  <c r="D114" i="5"/>
  <c r="N113" i="5"/>
  <c r="D113" i="5"/>
  <c r="N112" i="5"/>
  <c r="D112" i="5"/>
  <c r="N111" i="5"/>
  <c r="D111" i="5"/>
  <c r="N110" i="5"/>
  <c r="D110" i="5"/>
  <c r="N109" i="5"/>
  <c r="D109" i="5"/>
  <c r="N108" i="5"/>
  <c r="D108" i="5"/>
  <c r="N107" i="5"/>
  <c r="D107" i="5"/>
  <c r="N106" i="5"/>
  <c r="D106" i="5"/>
  <c r="N105" i="5"/>
  <c r="D105" i="5"/>
  <c r="N104" i="5"/>
  <c r="D104" i="5"/>
  <c r="N103" i="5"/>
  <c r="D103" i="5"/>
  <c r="N102" i="5"/>
  <c r="D102" i="5"/>
  <c r="N101" i="5"/>
  <c r="D101" i="5"/>
  <c r="N100" i="5"/>
  <c r="D100" i="5"/>
  <c r="N99" i="5"/>
  <c r="D99" i="5"/>
  <c r="N98" i="5"/>
  <c r="D98" i="5"/>
  <c r="N97" i="5"/>
  <c r="D97" i="5"/>
  <c r="N96" i="5"/>
  <c r="D96" i="5"/>
  <c r="N95" i="5"/>
  <c r="D95" i="5"/>
  <c r="N94" i="5"/>
  <c r="D94" i="5"/>
  <c r="N93" i="5"/>
  <c r="D93" i="5"/>
  <c r="N92" i="5"/>
  <c r="D92" i="5"/>
  <c r="N91" i="5"/>
  <c r="D91" i="5"/>
  <c r="N90" i="5"/>
  <c r="D90" i="5"/>
  <c r="N89" i="5"/>
  <c r="D89" i="5"/>
  <c r="N88" i="5"/>
  <c r="D88" i="5"/>
  <c r="N87" i="5"/>
  <c r="D87" i="5"/>
  <c r="N86" i="5"/>
  <c r="D86" i="5"/>
  <c r="N85" i="5"/>
  <c r="D85" i="5"/>
  <c r="N84" i="5"/>
  <c r="D84" i="5"/>
  <c r="N83" i="5"/>
  <c r="D83" i="5"/>
  <c r="N82" i="5"/>
  <c r="D82" i="5"/>
  <c r="N81" i="5"/>
  <c r="D81" i="5"/>
  <c r="N80" i="5"/>
  <c r="D80" i="5"/>
  <c r="N79" i="5"/>
  <c r="D79" i="5"/>
  <c r="N78" i="5"/>
  <c r="D78" i="5"/>
  <c r="N77" i="5"/>
  <c r="D77" i="5"/>
  <c r="N76" i="5"/>
  <c r="D76" i="5"/>
  <c r="N75" i="5"/>
  <c r="D75" i="5"/>
  <c r="N74" i="5"/>
  <c r="D74" i="5"/>
  <c r="N73" i="5"/>
  <c r="D73" i="5"/>
  <c r="N72" i="5"/>
  <c r="D72" i="5"/>
  <c r="N71" i="5"/>
  <c r="D71" i="5"/>
  <c r="N70" i="5"/>
  <c r="D70" i="5"/>
  <c r="N69" i="5"/>
  <c r="D69" i="5"/>
  <c r="N68" i="5"/>
  <c r="D68" i="5"/>
  <c r="N67" i="5"/>
  <c r="D67" i="5"/>
  <c r="N66" i="5"/>
  <c r="D66" i="5"/>
  <c r="N65" i="5"/>
  <c r="D65" i="5"/>
  <c r="N64" i="5"/>
  <c r="D64" i="5"/>
  <c r="N63" i="5"/>
  <c r="D63" i="5"/>
  <c r="N62" i="5"/>
  <c r="D62" i="5"/>
  <c r="N61" i="5"/>
  <c r="D61" i="5"/>
  <c r="N60" i="5"/>
  <c r="D60" i="5"/>
  <c r="N59" i="5"/>
  <c r="D59" i="5"/>
  <c r="N58" i="5"/>
  <c r="D58" i="5"/>
  <c r="N57" i="5"/>
  <c r="D57" i="5"/>
  <c r="N56" i="5"/>
  <c r="D56" i="5"/>
  <c r="N55" i="5"/>
  <c r="D55" i="5"/>
  <c r="N54" i="5"/>
  <c r="D54" i="5"/>
  <c r="N53" i="5"/>
  <c r="D53" i="5"/>
  <c r="N52" i="5"/>
  <c r="D52" i="5"/>
  <c r="N51" i="5"/>
  <c r="D51" i="5"/>
  <c r="N50" i="5"/>
  <c r="D50" i="5"/>
  <c r="N49" i="5"/>
  <c r="D49" i="5"/>
  <c r="N48" i="5"/>
  <c r="D48" i="5"/>
  <c r="N47" i="5"/>
  <c r="D47" i="5"/>
  <c r="N46" i="5"/>
  <c r="D46" i="5"/>
  <c r="N45" i="5"/>
  <c r="D45" i="5"/>
  <c r="N44" i="5"/>
  <c r="D44" i="5"/>
  <c r="N43" i="5"/>
  <c r="D43" i="5"/>
  <c r="N42" i="5"/>
  <c r="D42" i="5"/>
  <c r="N41" i="5"/>
  <c r="D41" i="5"/>
  <c r="N40" i="5"/>
  <c r="D40" i="5"/>
  <c r="N39" i="5"/>
  <c r="D39" i="5"/>
  <c r="N38" i="5"/>
  <c r="D38" i="5"/>
  <c r="N37" i="5"/>
  <c r="D37" i="5"/>
  <c r="N36" i="5"/>
  <c r="D36" i="5"/>
  <c r="N35" i="5"/>
  <c r="D35" i="5"/>
  <c r="N34" i="5"/>
  <c r="D34" i="5"/>
  <c r="N33" i="5"/>
  <c r="D33" i="5"/>
  <c r="N32" i="5"/>
  <c r="D32" i="5"/>
  <c r="N31" i="5"/>
  <c r="D31" i="5"/>
  <c r="N30" i="5"/>
  <c r="D30" i="5"/>
  <c r="N29" i="5"/>
  <c r="D29" i="5"/>
  <c r="N28" i="5"/>
  <c r="D28" i="5"/>
  <c r="N27" i="5"/>
  <c r="D27" i="5"/>
  <c r="N26" i="5"/>
  <c r="D26" i="5"/>
  <c r="N25" i="5"/>
  <c r="D25" i="5"/>
  <c r="N24" i="5"/>
  <c r="D24" i="5"/>
  <c r="N23" i="5"/>
  <c r="D23" i="5"/>
  <c r="N22" i="5"/>
  <c r="D22" i="5"/>
  <c r="N21" i="5"/>
  <c r="D21" i="5"/>
  <c r="N20" i="5"/>
  <c r="D20" i="5"/>
  <c r="N19" i="5"/>
  <c r="D19" i="5"/>
  <c r="N18" i="5"/>
  <c r="D18" i="5"/>
  <c r="N17" i="5"/>
  <c r="D17" i="5"/>
  <c r="N16" i="5"/>
  <c r="D16" i="5"/>
  <c r="N15" i="5"/>
  <c r="D15" i="5"/>
  <c r="N14" i="5"/>
  <c r="D14" i="5"/>
  <c r="N13" i="5"/>
  <c r="N12" i="5"/>
  <c r="N11" i="5"/>
  <c r="N10" i="5"/>
  <c r="N9" i="5"/>
  <c r="N8" i="5"/>
  <c r="N7" i="5"/>
  <c r="N6" i="5"/>
  <c r="N5" i="5"/>
  <c r="N4" i="5"/>
  <c r="N3" i="5"/>
  <c r="N2" i="5"/>
  <c r="R210" i="4"/>
  <c r="I210" i="4"/>
  <c r="K210" i="4" s="1"/>
  <c r="R209" i="4"/>
  <c r="I209" i="4"/>
  <c r="K209" i="4" s="1"/>
  <c r="R208" i="4"/>
  <c r="I208" i="4"/>
  <c r="K208" i="4" s="1"/>
  <c r="R207" i="4"/>
  <c r="I207" i="4"/>
  <c r="J207" i="4" s="1"/>
  <c r="R206" i="4"/>
  <c r="I206" i="4"/>
  <c r="J206" i="4" s="1"/>
  <c r="R205" i="4"/>
  <c r="I205" i="4"/>
  <c r="J205" i="4" s="1"/>
  <c r="R204" i="4"/>
  <c r="I204" i="4"/>
  <c r="K204" i="4" s="1"/>
  <c r="R203" i="4"/>
  <c r="I203" i="4"/>
  <c r="K203" i="4" s="1"/>
  <c r="R202" i="4"/>
  <c r="I202" i="4"/>
  <c r="K202" i="4" s="1"/>
  <c r="R201" i="4"/>
  <c r="I201" i="4"/>
  <c r="J201" i="4" s="1"/>
  <c r="R200" i="4"/>
  <c r="I200" i="4"/>
  <c r="J200" i="4" s="1"/>
  <c r="R199" i="4"/>
  <c r="I199" i="4"/>
  <c r="J199" i="4" s="1"/>
  <c r="R198" i="4"/>
  <c r="I198" i="4"/>
  <c r="K198" i="4" s="1"/>
  <c r="R197" i="4"/>
  <c r="I197" i="4"/>
  <c r="K197" i="4" s="1"/>
  <c r="R196" i="4"/>
  <c r="I196" i="4"/>
  <c r="K196" i="4" s="1"/>
  <c r="R195" i="4"/>
  <c r="I195" i="4"/>
  <c r="J195" i="4" s="1"/>
  <c r="R194" i="4"/>
  <c r="I194" i="4"/>
  <c r="J194" i="4" s="1"/>
  <c r="R193" i="4"/>
  <c r="I193" i="4"/>
  <c r="J193" i="4" s="1"/>
  <c r="R192" i="4"/>
  <c r="I192" i="4"/>
  <c r="K192" i="4" s="1"/>
  <c r="R191" i="4"/>
  <c r="I191" i="4"/>
  <c r="K191" i="4" s="1"/>
  <c r="R190" i="4"/>
  <c r="I190" i="4"/>
  <c r="K190" i="4" s="1"/>
  <c r="R189" i="4"/>
  <c r="I189" i="4"/>
  <c r="J189" i="4" s="1"/>
  <c r="R188" i="4"/>
  <c r="I188" i="4"/>
  <c r="J188" i="4" s="1"/>
  <c r="R187" i="4"/>
  <c r="I187" i="4"/>
  <c r="K187" i="4" s="1"/>
  <c r="R186" i="4"/>
  <c r="I186" i="4"/>
  <c r="K186" i="4" s="1"/>
  <c r="R185" i="4"/>
  <c r="I185" i="4"/>
  <c r="K185" i="4" s="1"/>
  <c r="R184" i="4"/>
  <c r="I184" i="4"/>
  <c r="K184" i="4" s="1"/>
  <c r="R183" i="4"/>
  <c r="I183" i="4"/>
  <c r="J183" i="4" s="1"/>
  <c r="R182" i="4"/>
  <c r="I182" i="4"/>
  <c r="J182" i="4" s="1"/>
  <c r="R181" i="4"/>
  <c r="I181" i="4"/>
  <c r="J181" i="4" s="1"/>
  <c r="R180" i="4"/>
  <c r="I180" i="4"/>
  <c r="K180" i="4" s="1"/>
  <c r="R179" i="4"/>
  <c r="I179" i="4"/>
  <c r="K179" i="4" s="1"/>
  <c r="R178" i="4"/>
  <c r="I178" i="4"/>
  <c r="K178" i="4" s="1"/>
  <c r="R177" i="4"/>
  <c r="I177" i="4"/>
  <c r="J177" i="4" s="1"/>
  <c r="R176" i="4"/>
  <c r="I176" i="4"/>
  <c r="J176" i="4" s="1"/>
  <c r="R175" i="4"/>
  <c r="I175" i="4"/>
  <c r="K175" i="4" s="1"/>
  <c r="R174" i="4"/>
  <c r="I174" i="4"/>
  <c r="K174" i="4" s="1"/>
  <c r="R173" i="4"/>
  <c r="I173" i="4"/>
  <c r="K173" i="4" s="1"/>
  <c r="R172" i="4"/>
  <c r="I172" i="4"/>
  <c r="K172" i="4" s="1"/>
  <c r="R171" i="4"/>
  <c r="I171" i="4"/>
  <c r="J171" i="4" s="1"/>
  <c r="R170" i="4"/>
  <c r="I170" i="4"/>
  <c r="J170" i="4" s="1"/>
  <c r="R169" i="4"/>
  <c r="I169" i="4"/>
  <c r="J169" i="4" s="1"/>
  <c r="R168" i="4"/>
  <c r="I168" i="4"/>
  <c r="K168" i="4" s="1"/>
  <c r="R167" i="4"/>
  <c r="I167" i="4"/>
  <c r="K167" i="4" s="1"/>
  <c r="R166" i="4"/>
  <c r="I166" i="4"/>
  <c r="K166" i="4" s="1"/>
  <c r="R165" i="4"/>
  <c r="I165" i="4"/>
  <c r="J165" i="4" s="1"/>
  <c r="R164" i="4"/>
  <c r="I164" i="4"/>
  <c r="J164" i="4" s="1"/>
  <c r="R163" i="4"/>
  <c r="I163" i="4"/>
  <c r="K163" i="4" s="1"/>
  <c r="R162" i="4"/>
  <c r="I162" i="4"/>
  <c r="K162" i="4" s="1"/>
  <c r="R161" i="4"/>
  <c r="I161" i="4"/>
  <c r="K161" i="4" s="1"/>
  <c r="R160" i="4"/>
  <c r="I160" i="4"/>
  <c r="K160" i="4" s="1"/>
  <c r="R159" i="4"/>
  <c r="I159" i="4"/>
  <c r="J159" i="4" s="1"/>
  <c r="R158" i="4"/>
  <c r="I158" i="4"/>
  <c r="J158" i="4" s="1"/>
  <c r="R157" i="4"/>
  <c r="I157" i="4"/>
  <c r="J157" i="4" s="1"/>
  <c r="R156" i="4"/>
  <c r="I156" i="4"/>
  <c r="K156" i="4" s="1"/>
  <c r="R155" i="4"/>
  <c r="I155" i="4"/>
  <c r="K155" i="4" s="1"/>
  <c r="R154" i="4"/>
  <c r="I154" i="4"/>
  <c r="K154" i="4" s="1"/>
  <c r="R153" i="4"/>
  <c r="I153" i="4"/>
  <c r="J153" i="4" s="1"/>
  <c r="R152" i="4"/>
  <c r="I152" i="4"/>
  <c r="J152" i="4" s="1"/>
  <c r="R151" i="4"/>
  <c r="I151" i="4"/>
  <c r="K151" i="4" s="1"/>
  <c r="R150" i="4"/>
  <c r="I150" i="4"/>
  <c r="K150" i="4" s="1"/>
  <c r="R149" i="4"/>
  <c r="I149" i="4"/>
  <c r="K149" i="4" s="1"/>
  <c r="R148" i="4"/>
  <c r="I148" i="4"/>
  <c r="K148" i="4" s="1"/>
  <c r="R147" i="4"/>
  <c r="I147" i="4"/>
  <c r="J147" i="4" s="1"/>
  <c r="R146" i="4"/>
  <c r="I146" i="4"/>
  <c r="J146" i="4" s="1"/>
  <c r="R145" i="4"/>
  <c r="I145" i="4"/>
  <c r="J145" i="4" s="1"/>
  <c r="R144" i="4"/>
  <c r="I144" i="4"/>
  <c r="K144" i="4" s="1"/>
  <c r="R143" i="4"/>
  <c r="I143" i="4"/>
  <c r="K143" i="4" s="1"/>
  <c r="R142" i="4"/>
  <c r="I142" i="4"/>
  <c r="K142" i="4" s="1"/>
  <c r="R141" i="4"/>
  <c r="I141" i="4"/>
  <c r="J141" i="4" s="1"/>
  <c r="R140" i="4"/>
  <c r="I140" i="4"/>
  <c r="J140" i="4" s="1"/>
  <c r="R139" i="4"/>
  <c r="I139" i="4"/>
  <c r="K139" i="4" s="1"/>
  <c r="R138" i="4"/>
  <c r="I138" i="4"/>
  <c r="K138" i="4" s="1"/>
  <c r="R137" i="4"/>
  <c r="I137" i="4"/>
  <c r="K137" i="4" s="1"/>
  <c r="R136" i="4"/>
  <c r="I136" i="4"/>
  <c r="K136" i="4" s="1"/>
  <c r="R135" i="4"/>
  <c r="I135" i="4"/>
  <c r="J135" i="4" s="1"/>
  <c r="R134" i="4"/>
  <c r="I134" i="4"/>
  <c r="J134" i="4" s="1"/>
  <c r="R133" i="4"/>
  <c r="I133" i="4"/>
  <c r="J133" i="4" s="1"/>
  <c r="R132" i="4"/>
  <c r="I132" i="4"/>
  <c r="K132" i="4" s="1"/>
  <c r="R131" i="4"/>
  <c r="I131" i="4"/>
  <c r="K131" i="4" s="1"/>
  <c r="R130" i="4"/>
  <c r="I130" i="4"/>
  <c r="K130" i="4" s="1"/>
  <c r="R129" i="4"/>
  <c r="I129" i="4"/>
  <c r="J129" i="4" s="1"/>
  <c r="R128" i="4"/>
  <c r="I128" i="4"/>
  <c r="J128" i="4" s="1"/>
  <c r="R127" i="4"/>
  <c r="I127" i="4"/>
  <c r="K127" i="4" s="1"/>
  <c r="R126" i="4"/>
  <c r="I126" i="4"/>
  <c r="K126" i="4" s="1"/>
  <c r="R125" i="4"/>
  <c r="I125" i="4"/>
  <c r="K125" i="4" s="1"/>
  <c r="R124" i="4"/>
  <c r="I124" i="4"/>
  <c r="K124" i="4" s="1"/>
  <c r="R123" i="4"/>
  <c r="I123" i="4"/>
  <c r="J123" i="4" s="1"/>
  <c r="R122" i="4"/>
  <c r="I122" i="4"/>
  <c r="J122" i="4" s="1"/>
  <c r="R121" i="4"/>
  <c r="I121" i="4"/>
  <c r="K121" i="4" s="1"/>
  <c r="R120" i="4"/>
  <c r="I120" i="4"/>
  <c r="K120" i="4" s="1"/>
  <c r="R119" i="4"/>
  <c r="I119" i="4"/>
  <c r="K119" i="4" s="1"/>
  <c r="R118" i="4"/>
  <c r="I118" i="4"/>
  <c r="K118" i="4" s="1"/>
  <c r="R117" i="4"/>
  <c r="I117" i="4"/>
  <c r="J117" i="4" s="1"/>
  <c r="R116" i="4"/>
  <c r="I116" i="4"/>
  <c r="J116" i="4" s="1"/>
  <c r="R115" i="4"/>
  <c r="I115" i="4"/>
  <c r="J115" i="4" s="1"/>
  <c r="R114" i="4"/>
  <c r="I114" i="4"/>
  <c r="K114" i="4" s="1"/>
  <c r="R113" i="4"/>
  <c r="I113" i="4"/>
  <c r="K113" i="4" s="1"/>
  <c r="R112" i="4"/>
  <c r="I112" i="4"/>
  <c r="K112" i="4" s="1"/>
  <c r="R111" i="4"/>
  <c r="I111" i="4"/>
  <c r="J111" i="4" s="1"/>
  <c r="R110" i="4"/>
  <c r="I110" i="4"/>
  <c r="J110" i="4" s="1"/>
  <c r="R109" i="4"/>
  <c r="I109" i="4"/>
  <c r="K109" i="4" s="1"/>
  <c r="R108" i="4"/>
  <c r="I108" i="4"/>
  <c r="K108" i="4" s="1"/>
  <c r="R107" i="4"/>
  <c r="I107" i="4"/>
  <c r="K107" i="4" s="1"/>
  <c r="R106" i="4"/>
  <c r="I106" i="4"/>
  <c r="K106" i="4" s="1"/>
  <c r="R105" i="4"/>
  <c r="I105" i="4"/>
  <c r="J105" i="4" s="1"/>
  <c r="R104" i="4"/>
  <c r="I104" i="4"/>
  <c r="J104" i="4" s="1"/>
  <c r="R103" i="4"/>
  <c r="I103" i="4"/>
  <c r="K103" i="4" s="1"/>
  <c r="R102" i="4"/>
  <c r="I102" i="4"/>
  <c r="K102" i="4" s="1"/>
  <c r="R101" i="4"/>
  <c r="I101" i="4"/>
  <c r="K101" i="4" s="1"/>
  <c r="R100" i="4"/>
  <c r="I100" i="4"/>
  <c r="K100" i="4" s="1"/>
  <c r="R99" i="4"/>
  <c r="I99" i="4"/>
  <c r="J99" i="4" s="1"/>
  <c r="R98" i="4"/>
  <c r="I98" i="4"/>
  <c r="J98" i="4" s="1"/>
  <c r="R97" i="4"/>
  <c r="I97" i="4"/>
  <c r="J97" i="4" s="1"/>
  <c r="R96" i="4"/>
  <c r="I96" i="4"/>
  <c r="K96" i="4" s="1"/>
  <c r="R95" i="4"/>
  <c r="I95" i="4"/>
  <c r="K95" i="4" s="1"/>
  <c r="R94" i="4"/>
  <c r="I94" i="4"/>
  <c r="K94" i="4" s="1"/>
  <c r="R93" i="4"/>
  <c r="I93" i="4"/>
  <c r="J93" i="4" s="1"/>
  <c r="R92" i="4"/>
  <c r="I92" i="4"/>
  <c r="J92" i="4" s="1"/>
  <c r="R91" i="4"/>
  <c r="I91" i="4"/>
  <c r="K91" i="4" s="1"/>
  <c r="R90" i="4"/>
  <c r="I90" i="4"/>
  <c r="K90" i="4" s="1"/>
  <c r="R89" i="4"/>
  <c r="I89" i="4"/>
  <c r="K89" i="4" s="1"/>
  <c r="R88" i="4"/>
  <c r="I88" i="4"/>
  <c r="K88" i="4" s="1"/>
  <c r="R87" i="4"/>
  <c r="I87" i="4"/>
  <c r="J87" i="4" s="1"/>
  <c r="R86" i="4"/>
  <c r="I86" i="4"/>
  <c r="J86" i="4" s="1"/>
  <c r="R85" i="4"/>
  <c r="I85" i="4"/>
  <c r="K85" i="4" s="1"/>
  <c r="R84" i="4"/>
  <c r="I84" i="4"/>
  <c r="K84" i="4" s="1"/>
  <c r="R83" i="4"/>
  <c r="I83" i="4"/>
  <c r="K83" i="4" s="1"/>
  <c r="R82" i="4"/>
  <c r="I82" i="4"/>
  <c r="K82" i="4" s="1"/>
  <c r="R81" i="4"/>
  <c r="I81" i="4"/>
  <c r="J81" i="4" s="1"/>
  <c r="R80" i="4"/>
  <c r="I80" i="4"/>
  <c r="K80" i="4" s="1"/>
  <c r="R79" i="4"/>
  <c r="I79" i="4"/>
  <c r="J79" i="4" s="1"/>
  <c r="R78" i="4"/>
  <c r="I78" i="4"/>
  <c r="K78" i="4" s="1"/>
  <c r="R77" i="4"/>
  <c r="I77" i="4"/>
  <c r="K77" i="4" s="1"/>
  <c r="R76" i="4"/>
  <c r="I76" i="4"/>
  <c r="K76" i="4" s="1"/>
  <c r="R75" i="4"/>
  <c r="I75" i="4"/>
  <c r="J75" i="4" s="1"/>
  <c r="R74" i="4"/>
  <c r="I74" i="4"/>
  <c r="J74" i="4" s="1"/>
  <c r="R73" i="4"/>
  <c r="I73" i="4"/>
  <c r="K73" i="4" s="1"/>
  <c r="R72" i="4"/>
  <c r="I72" i="4"/>
  <c r="K72" i="4" s="1"/>
  <c r="R71" i="4"/>
  <c r="I71" i="4"/>
  <c r="K71" i="4" s="1"/>
  <c r="R70" i="4"/>
  <c r="I70" i="4"/>
  <c r="K70" i="4" s="1"/>
  <c r="R69" i="4"/>
  <c r="I69" i="4"/>
  <c r="J69" i="4" s="1"/>
  <c r="R68" i="4"/>
  <c r="I68" i="4"/>
  <c r="J68" i="4" s="1"/>
  <c r="R67" i="4"/>
  <c r="I67" i="4"/>
  <c r="K67" i="4" s="1"/>
  <c r="R66" i="4"/>
  <c r="I66" i="4"/>
  <c r="K66" i="4" s="1"/>
  <c r="R65" i="4"/>
  <c r="I65" i="4"/>
  <c r="K65" i="4" s="1"/>
  <c r="R64" i="4"/>
  <c r="I64" i="4"/>
  <c r="K64" i="4" s="1"/>
  <c r="R63" i="4"/>
  <c r="I63" i="4"/>
  <c r="J63" i="4" s="1"/>
  <c r="R62" i="4"/>
  <c r="I62" i="4"/>
  <c r="J62" i="4" s="1"/>
  <c r="R61" i="4"/>
  <c r="I61" i="4"/>
  <c r="J61" i="4" s="1"/>
  <c r="R60" i="4"/>
  <c r="I60" i="4"/>
  <c r="K60" i="4" s="1"/>
  <c r="R59" i="4"/>
  <c r="I59" i="4"/>
  <c r="K59" i="4" s="1"/>
  <c r="R58" i="4"/>
  <c r="I58" i="4"/>
  <c r="K58" i="4" s="1"/>
  <c r="R57" i="4"/>
  <c r="I57" i="4"/>
  <c r="J57" i="4" s="1"/>
  <c r="R56" i="4"/>
  <c r="I56" i="4"/>
  <c r="J56" i="4" s="1"/>
  <c r="R55" i="4"/>
  <c r="I55" i="4"/>
  <c r="K55" i="4" s="1"/>
  <c r="R54" i="4"/>
  <c r="I54" i="4"/>
  <c r="K54" i="4" s="1"/>
  <c r="R53" i="4"/>
  <c r="I53" i="4"/>
  <c r="K53" i="4" s="1"/>
  <c r="R52" i="4"/>
  <c r="I52" i="4"/>
  <c r="K52" i="4" s="1"/>
  <c r="R51" i="4"/>
  <c r="I51" i="4"/>
  <c r="J51" i="4" s="1"/>
  <c r="R50" i="4"/>
  <c r="I50" i="4"/>
  <c r="J50" i="4" s="1"/>
  <c r="R49" i="4"/>
  <c r="I49" i="4"/>
  <c r="K49" i="4" s="1"/>
  <c r="R48" i="4"/>
  <c r="I48" i="4"/>
  <c r="K48" i="4" s="1"/>
  <c r="R47" i="4"/>
  <c r="I47" i="4"/>
  <c r="K47" i="4" s="1"/>
  <c r="R46" i="4"/>
  <c r="I46" i="4"/>
  <c r="K46" i="4" s="1"/>
  <c r="R45" i="4"/>
  <c r="I45" i="4"/>
  <c r="J45" i="4" s="1"/>
  <c r="R44" i="4"/>
  <c r="I44" i="4"/>
  <c r="J44" i="4" s="1"/>
  <c r="R43" i="4"/>
  <c r="I43" i="4"/>
  <c r="J43" i="4" s="1"/>
  <c r="R42" i="4"/>
  <c r="I42" i="4"/>
  <c r="K42" i="4" s="1"/>
  <c r="R41" i="4"/>
  <c r="I41" i="4"/>
  <c r="K41" i="4" s="1"/>
  <c r="R40" i="4"/>
  <c r="I40" i="4"/>
  <c r="K40" i="4" s="1"/>
  <c r="R39" i="4"/>
  <c r="I39" i="4"/>
  <c r="J39" i="4" s="1"/>
  <c r="R38" i="4"/>
  <c r="I38" i="4"/>
  <c r="J38" i="4" s="1"/>
  <c r="R37" i="4"/>
  <c r="I37" i="4"/>
  <c r="K37" i="4" s="1"/>
  <c r="R36" i="4"/>
  <c r="I36" i="4"/>
  <c r="K36" i="4" s="1"/>
  <c r="R35" i="4"/>
  <c r="I35" i="4"/>
  <c r="K35" i="4" s="1"/>
  <c r="R34" i="4"/>
  <c r="I34" i="4"/>
  <c r="K34" i="4" s="1"/>
  <c r="R33" i="4"/>
  <c r="I33" i="4"/>
  <c r="J33" i="4" s="1"/>
  <c r="R32" i="4"/>
  <c r="I32" i="4"/>
  <c r="J32" i="4" s="1"/>
  <c r="R31" i="4"/>
  <c r="I31" i="4"/>
  <c r="K31" i="4" s="1"/>
  <c r="R30" i="4"/>
  <c r="I30" i="4"/>
  <c r="K30" i="4" s="1"/>
  <c r="R29" i="4"/>
  <c r="I29" i="4"/>
  <c r="K29" i="4" s="1"/>
  <c r="R28" i="4"/>
  <c r="I28" i="4"/>
  <c r="K28" i="4" s="1"/>
  <c r="R27" i="4"/>
  <c r="I27" i="4"/>
  <c r="J27" i="4" s="1"/>
  <c r="R26" i="4"/>
  <c r="I26" i="4"/>
  <c r="J26" i="4" s="1"/>
  <c r="R25" i="4"/>
  <c r="I25" i="4"/>
  <c r="J25" i="4" s="1"/>
  <c r="R24" i="4"/>
  <c r="I24" i="4"/>
  <c r="K24" i="4" s="1"/>
  <c r="R23" i="4"/>
  <c r="I23" i="4"/>
  <c r="K23" i="4" s="1"/>
  <c r="R22" i="4"/>
  <c r="I22" i="4"/>
  <c r="K22" i="4" s="1"/>
  <c r="R21" i="4"/>
  <c r="I21" i="4"/>
  <c r="J21" i="4" s="1"/>
  <c r="R20" i="4"/>
  <c r="I20" i="4"/>
  <c r="J20" i="4" s="1"/>
  <c r="R19" i="4"/>
  <c r="I19" i="4"/>
  <c r="K19" i="4" s="1"/>
  <c r="R18" i="4"/>
  <c r="I18" i="4"/>
  <c r="K18" i="4" s="1"/>
  <c r="R17" i="4"/>
  <c r="I17" i="4"/>
  <c r="K17" i="4" s="1"/>
  <c r="R16" i="4"/>
  <c r="I16" i="4"/>
  <c r="K16" i="4" s="1"/>
  <c r="R15" i="4"/>
  <c r="I15" i="4"/>
  <c r="J15" i="4" s="1"/>
  <c r="R14" i="4"/>
  <c r="I14" i="4"/>
  <c r="J14" i="4" s="1"/>
  <c r="R13" i="4"/>
  <c r="R12" i="4"/>
  <c r="R11" i="4"/>
  <c r="R10" i="4"/>
  <c r="R9" i="4"/>
  <c r="R8" i="4"/>
  <c r="R7" i="4"/>
  <c r="R6" i="4"/>
  <c r="R5" i="4"/>
  <c r="R4" i="4"/>
  <c r="R3" i="4"/>
  <c r="R2" i="4"/>
  <c r="K21" i="4" l="1"/>
  <c r="K39" i="4"/>
  <c r="K57" i="4"/>
  <c r="K75" i="4"/>
  <c r="K93" i="4"/>
  <c r="K111" i="4"/>
  <c r="K135" i="4"/>
  <c r="K153" i="4"/>
  <c r="K189" i="4"/>
  <c r="K14" i="4"/>
  <c r="K38" i="4"/>
  <c r="K92" i="4"/>
  <c r="K27" i="4"/>
  <c r="K45" i="4"/>
  <c r="K63" i="4"/>
  <c r="K81" i="4"/>
  <c r="K105" i="4"/>
  <c r="K123" i="4"/>
  <c r="K141" i="4"/>
  <c r="K171" i="4"/>
  <c r="J16" i="4"/>
  <c r="J22" i="4"/>
  <c r="J28" i="4"/>
  <c r="J34" i="4"/>
  <c r="J40" i="4"/>
  <c r="J46" i="4"/>
  <c r="J52" i="4"/>
  <c r="J58" i="4"/>
  <c r="J64" i="4"/>
  <c r="J70" i="4"/>
  <c r="J76" i="4"/>
  <c r="J82" i="4"/>
  <c r="J88" i="4"/>
  <c r="J94" i="4"/>
  <c r="J100" i="4"/>
  <c r="J106" i="4"/>
  <c r="J112" i="4"/>
  <c r="J118" i="4"/>
  <c r="J124" i="4"/>
  <c r="J130" i="4"/>
  <c r="J136" i="4"/>
  <c r="J142" i="4"/>
  <c r="J148" i="4"/>
  <c r="J154" i="4"/>
  <c r="J160" i="4"/>
  <c r="J166" i="4"/>
  <c r="J172" i="4"/>
  <c r="J178" i="4"/>
  <c r="J184" i="4"/>
  <c r="J190" i="4"/>
  <c r="J196" i="4"/>
  <c r="J202" i="4"/>
  <c r="J208" i="4"/>
  <c r="K15" i="4"/>
  <c r="K33" i="4"/>
  <c r="K51" i="4"/>
  <c r="K69" i="4"/>
  <c r="K87" i="4"/>
  <c r="K99" i="4"/>
  <c r="K117" i="4"/>
  <c r="K129" i="4"/>
  <c r="K147" i="4"/>
  <c r="K159" i="4"/>
  <c r="K165" i="4"/>
  <c r="K177" i="4"/>
  <c r="K183" i="4"/>
  <c r="K195" i="4"/>
  <c r="K201" i="4"/>
  <c r="K207" i="4"/>
  <c r="J17" i="4"/>
  <c r="J23" i="4"/>
  <c r="J29" i="4"/>
  <c r="J35" i="4"/>
  <c r="J41" i="4"/>
  <c r="J47" i="4"/>
  <c r="J53" i="4"/>
  <c r="J59" i="4"/>
  <c r="J65" i="4"/>
  <c r="J71" i="4"/>
  <c r="J77" i="4"/>
  <c r="J83" i="4"/>
  <c r="J89" i="4"/>
  <c r="J95" i="4"/>
  <c r="J101" i="4"/>
  <c r="J107" i="4"/>
  <c r="J113" i="4"/>
  <c r="J119" i="4"/>
  <c r="J125" i="4"/>
  <c r="J131" i="4"/>
  <c r="J137" i="4"/>
  <c r="J143" i="4"/>
  <c r="J149" i="4"/>
  <c r="J155" i="4"/>
  <c r="J161" i="4"/>
  <c r="J167" i="4"/>
  <c r="J173" i="4"/>
  <c r="J179" i="4"/>
  <c r="J185" i="4"/>
  <c r="J191" i="4"/>
  <c r="J197" i="4"/>
  <c r="J203" i="4"/>
  <c r="J209" i="4"/>
  <c r="K25" i="4"/>
  <c r="K43" i="4"/>
  <c r="K61" i="4"/>
  <c r="K79" i="4"/>
  <c r="K97" i="4"/>
  <c r="K115" i="4"/>
  <c r="K133" i="4"/>
  <c r="K145" i="4"/>
  <c r="K157" i="4"/>
  <c r="K169" i="4"/>
  <c r="K181" i="4"/>
  <c r="K193" i="4"/>
  <c r="K199" i="4"/>
  <c r="K205" i="4"/>
  <c r="K20" i="4"/>
  <c r="K26" i="4"/>
  <c r="K32" i="4"/>
  <c r="K44" i="4"/>
  <c r="K50" i="4"/>
  <c r="K56" i="4"/>
  <c r="K62" i="4"/>
  <c r="K68" i="4"/>
  <c r="K74" i="4"/>
  <c r="K86" i="4"/>
  <c r="K98" i="4"/>
  <c r="K104" i="4"/>
  <c r="K110" i="4"/>
  <c r="K116" i="4"/>
  <c r="K122" i="4"/>
  <c r="K128" i="4"/>
  <c r="K134" i="4"/>
  <c r="K140" i="4"/>
  <c r="K146" i="4"/>
  <c r="K152" i="4"/>
  <c r="K158" i="4"/>
  <c r="K164" i="4"/>
  <c r="K170" i="4"/>
  <c r="K176" i="4"/>
  <c r="K182" i="4"/>
  <c r="K188" i="4"/>
  <c r="K194" i="4"/>
  <c r="K200" i="4"/>
  <c r="K206" i="4"/>
  <c r="J18" i="4"/>
  <c r="J24" i="4"/>
  <c r="J30" i="4"/>
  <c r="J36" i="4"/>
  <c r="J42" i="4"/>
  <c r="J48" i="4"/>
  <c r="J54" i="4"/>
  <c r="J60" i="4"/>
  <c r="J66" i="4"/>
  <c r="J72" i="4"/>
  <c r="J78" i="4"/>
  <c r="J84" i="4"/>
  <c r="J90" i="4"/>
  <c r="J96" i="4"/>
  <c r="J102" i="4"/>
  <c r="J108" i="4"/>
  <c r="J114" i="4"/>
  <c r="J120" i="4"/>
  <c r="J126" i="4"/>
  <c r="J132" i="4"/>
  <c r="J138" i="4"/>
  <c r="J144" i="4"/>
  <c r="J150" i="4"/>
  <c r="J156" i="4"/>
  <c r="J162" i="4"/>
  <c r="J168" i="4"/>
  <c r="J174" i="4"/>
  <c r="J180" i="4"/>
  <c r="J186" i="4"/>
  <c r="J192" i="4"/>
  <c r="J198" i="4"/>
  <c r="J204" i="4"/>
  <c r="J210" i="4"/>
  <c r="J19" i="4"/>
  <c r="J31" i="4"/>
  <c r="J37" i="4"/>
  <c r="J49" i="4"/>
  <c r="J55" i="4"/>
  <c r="J67" i="4"/>
  <c r="J73" i="4"/>
  <c r="J85" i="4"/>
  <c r="J91" i="4"/>
  <c r="J103" i="4"/>
  <c r="J109" i="4"/>
  <c r="J121" i="4"/>
  <c r="J127" i="4"/>
  <c r="J139" i="4"/>
  <c r="J151" i="4"/>
  <c r="J163" i="4"/>
  <c r="J175" i="4"/>
  <c r="J187" i="4"/>
  <c r="J80" i="4"/>
</calcChain>
</file>

<file path=xl/comments1.xml><?xml version="1.0" encoding="utf-8"?>
<comments xmlns="http://schemas.openxmlformats.org/spreadsheetml/2006/main">
  <authors>
    <author>pkirkov</author>
  </authors>
  <commentList>
    <comment ref="G1" authorId="0" shapeId="0">
      <text>
        <r>
          <rPr>
            <b/>
            <sz val="9"/>
            <color indexed="81"/>
            <rFont val="Tahoma"/>
            <family val="2"/>
          </rPr>
          <t>pkirkov:</t>
        </r>
        <r>
          <rPr>
            <sz val="9"/>
            <color indexed="81"/>
            <rFont val="Tahoma"/>
            <family val="2"/>
          </rPr>
          <t xml:space="preserve">
Probability / Вероятност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pkirkov:</t>
        </r>
        <r>
          <rPr>
            <sz val="9"/>
            <color indexed="81"/>
            <rFont val="Tahoma"/>
            <family val="2"/>
          </rPr>
          <t xml:space="preserve">
Impact / Въздействие
</t>
        </r>
      </text>
    </comment>
  </commentList>
</comments>
</file>

<file path=xl/sharedStrings.xml><?xml version="1.0" encoding="utf-8"?>
<sst xmlns="http://schemas.openxmlformats.org/spreadsheetml/2006/main" count="428" uniqueCount="287">
  <si>
    <t>МИС — инструмент за риска (инвентаризация, оценка на риска, план за третиране)</t>
  </si>
  <si>
    <t>Ред на попълване: 1) Регистър на активите → 2) Регистър на риска → 3) План за третиране.</t>
  </si>
  <si>
    <t>Цветове:</t>
  </si>
  <si>
    <t xml:space="preserve">   • Жълтите клетки ги попълваш ти.</t>
  </si>
  <si>
    <t xml:space="preserve">   • Сивите се изчисляват автоматично — НЕ ги пипай (Риск, Ниво, Приемлив, Остатъчен риск, Първонач. риск в плана).</t>
  </si>
  <si>
    <t>Правила, които се проверяват:</t>
  </si>
  <si>
    <t xml:space="preserve">   • Собственикът на актив е ДЛЪЖНОСТ, не име на човек.</t>
  </si>
  <si>
    <t xml:space="preserve">   • Въздействието е НАЙ-ВИСОКОТО от четирите измерения (работа, данни, финанси/право, репутация), не средното. Виж лист „Скали“.</t>
  </si>
  <si>
    <t xml:space="preserve">   • Риск апетитът е ЧИСЛО (лист „Скали“, клетка B1, по подразбиране 9). Можеш да го смениш, но с обосновка за сектора на фирмата.</t>
  </si>
  <si>
    <t xml:space="preserve">   • Всеки риск сочи конкретен A-ID и има едновременно заплаха И уязвимост. „Хакерска атака“ не е риск.</t>
  </si>
  <si>
    <t>Как работи автоматиката:</t>
  </si>
  <si>
    <t xml:space="preserve">   • В Плана за третиране „Първонач. риск“ се тегли автоматично от Регистъра на риска по R-ID.</t>
  </si>
  <si>
    <t>Минимум за предаване: ≥12 актива, ≥12 оценени риска, план за третиране на всички неприемливи рискове.</t>
  </si>
  <si>
    <t>РИСК АПЕТИТ (число, по подразбиране 9 — сменя се с обосновка):</t>
  </si>
  <si>
    <t>Всичко с риск НАД тази стойност е неприемливо и влиза в План за третиране.</t>
  </si>
  <si>
    <t>СКАЛА ЗА ВЕРОЯТНОСТ (1–5, по честота)</t>
  </si>
  <si>
    <t>1 Много ниска</t>
  </si>
  <si>
    <t>по-рядко от веднъж на 10 години, теоретично</t>
  </si>
  <si>
    <t>2 Ниска</t>
  </si>
  <si>
    <t>веднъж на няколко години в сектора</t>
  </si>
  <si>
    <t>3 Средна</t>
  </si>
  <si>
    <t>веднъж на няколко години в подобна организация</t>
  </si>
  <si>
    <t>4 Висока</t>
  </si>
  <si>
    <t>очаква се при текущата защита, поне веднъж годишно</t>
  </si>
  <si>
    <t>5 Много висока</t>
  </si>
  <si>
    <t>вече се случва или опити постоянно</t>
  </si>
  <si>
    <t>СКАЛА ЗА ВЪЗДЕЙСТВИЕ (1–5) — взима се НАЙ-ВИСОКОТО от 4-те измерения</t>
  </si>
  <si>
    <t>Ниво</t>
  </si>
  <si>
    <t>Работа на услугата</t>
  </si>
  <si>
    <t>Данни</t>
  </si>
  <si>
    <t>Финанси и право</t>
  </si>
  <si>
    <t>Репутация</t>
  </si>
  <si>
    <t>1 Нищожно</t>
  </si>
  <si>
    <t>без забележимо прекъсване</t>
  </si>
  <si>
    <t>без загуба/разкриване</t>
  </si>
  <si>
    <t>пренебрежими разходи</t>
  </si>
  <si>
    <t>без отзвук</t>
  </si>
  <si>
    <t>2 Малко</t>
  </si>
  <si>
    <t>прекъсване до половин ден за част</t>
  </si>
  <si>
    <t>възстановимо от архив</t>
  </si>
  <si>
    <t>в рамките на бюджета</t>
  </si>
  <si>
    <t>отделни оплаквания</t>
  </si>
  <si>
    <t>3 Средно</t>
  </si>
  <si>
    <t>до един ден на основна услуга</t>
  </si>
  <si>
    <t>загуба до RPO/вътрешна инфо</t>
  </si>
  <si>
    <t>неустойки, извънредни разходи</t>
  </si>
  <si>
    <t>локална публичност</t>
  </si>
  <si>
    <t>4 Голямо</t>
  </si>
  <si>
    <t>над ден или всички потребители</t>
  </si>
  <si>
    <t>лични/поверителни данни</t>
  </si>
  <si>
    <t>надзорен орган, санкции</t>
  </si>
  <si>
    <t>национална публичност</t>
  </si>
  <si>
    <t>5 Критично</t>
  </si>
  <si>
    <t>спиране, живот и здраве, КИ</t>
  </si>
  <si>
    <t>масово/невъзстановимо</t>
  </si>
  <si>
    <t>лиценз, наказателна отг.</t>
  </si>
  <si>
    <t>трайна загуба на доверие</t>
  </si>
  <si>
    <t>НИВА НА РИСК (вероятност × въздействие)</t>
  </si>
  <si>
    <t>Стойност</t>
  </si>
  <si>
    <t>Цвят</t>
  </si>
  <si>
    <t>Срок за третиране</t>
  </si>
  <si>
    <t>Нисък</t>
  </si>
  <si>
    <t>1–4</t>
  </si>
  <si>
    <t>приема се / наблюдава се</t>
  </si>
  <si>
    <t>Умерен</t>
  </si>
  <si>
    <t>5–9</t>
  </si>
  <si>
    <t>наблюдава се</t>
  </si>
  <si>
    <t>Висок</t>
  </si>
  <si>
    <t>10–15</t>
  </si>
  <si>
    <t>третира се до 90 дни</t>
  </si>
  <si>
    <t>Критичен</t>
  </si>
  <si>
    <t>16–25</t>
  </si>
  <si>
    <t>третира се до 30 дни, временна мярка до 7 дни</t>
  </si>
  <si>
    <t>ВАРИАНТИ ЗА ТРЕТИРАНЕ</t>
  </si>
  <si>
    <t>Намаляване</t>
  </si>
  <si>
    <t>контрол, който сваля вероятността или въздействието</t>
  </si>
  <si>
    <t>Прехвърляне</t>
  </si>
  <si>
    <t>застраховка или договорна клауза; какво остава непрехвърлено</t>
  </si>
  <si>
    <t>Избягване</t>
  </si>
  <si>
    <t>спиране на дейността, която носи риска</t>
  </si>
  <si>
    <t>Приемане</t>
  </si>
  <si>
    <t>рискът е под апетита или третирането струва повече от щетата; кой приема, с длъжност и дата</t>
  </si>
  <si>
    <t>A-ID</t>
  </si>
  <si>
    <t>Наименование</t>
  </si>
  <si>
    <t>Тип</t>
  </si>
  <si>
    <t>Собственик (длъжност)</t>
  </si>
  <si>
    <t>Оператор</t>
  </si>
  <si>
    <t>Класификация</t>
  </si>
  <si>
    <t>Локация</t>
  </si>
  <si>
    <t>Зависимости</t>
  </si>
  <si>
    <t>Забележка</t>
  </si>
  <si>
    <t>A-01</t>
  </si>
  <si>
    <t>софтуер</t>
  </si>
  <si>
    <t>Ръководител ИТ</t>
  </si>
  <si>
    <t>Системен администратор</t>
  </si>
  <si>
    <t>поверителна</t>
  </si>
  <si>
    <t>A-02</t>
  </si>
  <si>
    <t>мрежа</t>
  </si>
  <si>
    <t>вътрешна</t>
  </si>
  <si>
    <t>—</t>
  </si>
  <si>
    <t>A-03</t>
  </si>
  <si>
    <t>информация</t>
  </si>
  <si>
    <t>A-07</t>
  </si>
  <si>
    <t>хардуер</t>
  </si>
  <si>
    <t>A-11</t>
  </si>
  <si>
    <t>A-05</t>
  </si>
  <si>
    <t>хора</t>
  </si>
  <si>
    <t>Управител</t>
  </si>
  <si>
    <t>R-ID</t>
  </si>
  <si>
    <t>Уязвимост</t>
  </si>
  <si>
    <t>Сценарий (изречение)</t>
  </si>
  <si>
    <t>Съществуващи контроли</t>
  </si>
  <si>
    <t>Риск</t>
  </si>
  <si>
    <t>Приемлив</t>
  </si>
  <si>
    <t>Третиране</t>
  </si>
  <si>
    <t>Отговорник (длъжност)</t>
  </si>
  <si>
    <t>Срок</t>
  </si>
  <si>
    <t>Час</t>
  </si>
  <si>
    <t>Остат. В</t>
  </si>
  <si>
    <t>Остат. Въ</t>
  </si>
  <si>
    <t>Остат. риск</t>
  </si>
  <si>
    <t>Доказателство</t>
  </si>
  <si>
    <t>R-04</t>
  </si>
  <si>
    <t>намаляване</t>
  </si>
  <si>
    <t>30 дни</t>
  </si>
  <si>
    <t>7 и 9</t>
  </si>
  <si>
    <t>artefakti/h07-keycloak/  ◄ ПРИМЕР — критичен → намаляване</t>
  </si>
  <si>
    <t>R-07</t>
  </si>
  <si>
    <t>приемане</t>
  </si>
  <si>
    <t>◄ ПРИМЕР — нисък → приемане</t>
  </si>
  <si>
    <t>A-ID (актив)</t>
  </si>
  <si>
    <t>Кратко описание на риска</t>
  </si>
  <si>
    <t>Първонач. риск</t>
  </si>
  <si>
    <t>Вариант за третиране</t>
  </si>
  <si>
    <t>Планиран контрол</t>
  </si>
  <si>
    <t>Annex A код</t>
  </si>
  <si>
    <t>Час от курса</t>
  </si>
  <si>
    <t>Статус</t>
  </si>
  <si>
    <t>Доказателство / артефакт</t>
  </si>
  <si>
    <t>A.8.5, A.8.20</t>
  </si>
  <si>
    <t>планиран</t>
  </si>
  <si>
    <t>artefakti/h07-keycloak/  ◄ ПРИМЕР</t>
  </si>
  <si>
    <t>приет</t>
  </si>
  <si>
    <t>◄ ПРИМЕР — под апетита, приема се</t>
  </si>
  <si>
    <t xml:space="preserve">   • Стойностите трябва да имат дистрибуция — ако всичко е 5 или всичко е 1, не е оценявано.</t>
  </si>
  <si>
    <t xml:space="preserve">   • Риск = Probablity × Impact. Ниво и Приемлив се пресмятат сами от Риск и от апетита.</t>
  </si>
  <si>
    <t xml:space="preserve">   • Остатъчен риск = Остат. Probability × Остат. Impact; попълва се, когато контролът се внедри.</t>
  </si>
  <si>
    <t xml:space="preserve">   • Редовете  с „◄ ПРИМЕР“  в "Забележка" са образци — изтрий целите редове, преди да качиш в git</t>
  </si>
  <si>
    <t>P</t>
  </si>
  <si>
    <t>I</t>
  </si>
  <si>
    <t>Остат. P</t>
  </si>
  <si>
    <t>Остат. I</t>
  </si>
  <si>
    <t>Заплаха ( MITTRE ATT&amp;CK техника)</t>
  </si>
  <si>
    <t>IoT Collector (приема сензорните данни)</t>
  </si>
  <si>
    <t>Ръководител инженерен отдел</t>
  </si>
  <si>
    <t>Инженер IoT</t>
  </si>
  <si>
    <t>Пловдив HQ, 10.50.0.10:5000/UDP</t>
  </si>
  <si>
    <t>A-05, A-09</t>
  </si>
  <si>
    <t>Config Server за IoT устройствата</t>
  </si>
  <si>
    <t>Пловдив HQ, 10.50.0.10:8022</t>
  </si>
  <si>
    <t>A-05, A-10</t>
  </si>
  <si>
    <t>Управленски dashboard</t>
  </si>
  <si>
    <t>Пловдив HQ, 443/TCP</t>
  </si>
  <si>
    <t>A-01, A-10</t>
  </si>
  <si>
    <t>A-04</t>
  </si>
  <si>
    <t>Сензорни и агрономически данни</t>
  </si>
  <si>
    <t>Технически директор</t>
  </si>
  <si>
    <t>Пловдив HQ, сървър на Collector</t>
  </si>
  <si>
    <t>Firewall на централата</t>
  </si>
  <si>
    <t>Пловдив HQ, 10.50.0.1</t>
  </si>
  <si>
    <t>A-06</t>
  </si>
  <si>
    <t>IoT Gateway Стара Загора</t>
  </si>
  <si>
    <t>Теренен оператор</t>
  </si>
  <si>
    <t>Стара Загора Field, 10.51.0.20</t>
  </si>
  <si>
    <t>A-08, A-09</t>
  </si>
  <si>
    <t>IoT Gateway Хасково</t>
  </si>
  <si>
    <t>Хасково Field, 10.52.0.20</t>
  </si>
  <si>
    <t>A-08</t>
  </si>
  <si>
    <t>IoT сензори на полетата</t>
  </si>
  <si>
    <t>полета на клиентите</t>
  </si>
  <si>
    <t>A-06, A-07</t>
  </si>
  <si>
    <t>A-09</t>
  </si>
  <si>
    <t>WAN връзки Field → HQ</t>
  </si>
  <si>
    <t>всички офиси</t>
  </si>
  <si>
    <t>A-10</t>
  </si>
  <si>
    <t>Потребителски акаунти и роли (инженер, теренен оператор)</t>
  </si>
  <si>
    <t>Пловдив HQ, Keycloak</t>
  </si>
  <si>
    <t>Фърмуер и конфигурации на IoT устройствата</t>
  </si>
  <si>
    <t>Config Server, Пловдив HQ</t>
  </si>
  <si>
    <t>A-12</t>
  </si>
  <si>
    <t>Инженер IoT (ключово знание)</t>
  </si>
  <si>
    <t>Пловдив HQ</t>
  </si>
  <si>
    <t>A-13</t>
  </si>
  <si>
    <t>AI асистент за анализ на сензорни данни</t>
  </si>
  <si>
    <t>R-01</t>
  </si>
  <si>
    <t>A-03 (Управленски dashboard)</t>
  </si>
  <si>
    <t>Външен нападател T1566.002 (Spearphishing Link) → T1078 (Valid Accounts)</t>
  </si>
  <si>
    <t>Вход в dashboard-а само с парола, без MFA; служителите не са обучени срещу фишинг</t>
  </si>
  <si>
    <t>Нападател открадва паролата на инженер с фишинг писмо и влиза в dashboard-а</t>
  </si>
  <si>
    <t>Сложност на паролата</t>
  </si>
  <si>
    <t>R-02</t>
  </si>
  <si>
    <t>A-01 (IoT Collector (приема сензорните данни))</t>
  </si>
  <si>
    <t>Нападател в теренната мрежа T1565.002 (Transmitted Data Manipulation)</t>
  </si>
  <si>
    <t>UDP 5000 е без автентикация и криптиране; Collector приема данни от всеки източник</t>
  </si>
  <si>
    <t>Нападател подава фалшиви показания и системата препоръчва грешно напояване и торене</t>
  </si>
  <si>
    <t>nftables пропуска UDP 5000 само от Field сегментите</t>
  </si>
  <si>
    <t>R-03</t>
  </si>
  <si>
    <t>A-02 (Config Server за IoT устройствата)</t>
  </si>
  <si>
    <t>Външен нападател T1110 (Brute Force) → T1021.004 (Remote Services: SSH)</t>
  </si>
  <si>
    <t>SSH към Config Server е с парола, без ограничение на опитите</t>
  </si>
  <si>
    <t>Нападател разбива SSH паролата и разпраща грешна конфигурация до всички устройства</t>
  </si>
  <si>
    <t>nftables: 8022 само от 10.50.0.0/24, Field няма достъп</t>
  </si>
  <si>
    <t>A-06 (IoT Gateway Стара Загора)</t>
  </si>
  <si>
    <t>Вътрешен или външен нападател T1078.001 (Default Accounts)</t>
  </si>
  <si>
    <t>Гейтуеят е с фабрична парола и с достъпна локална конзола в теренния офис</t>
  </si>
  <si>
    <t>Теренен оператор или външно лице влиза локално в гейтуея и променя конфигурацията му</t>
  </si>
  <si>
    <t>Офисът се заключва след работно време</t>
  </si>
  <si>
    <t>R-05</t>
  </si>
  <si>
    <t>A-11 (Фърмуер и конфигурации на IoT устройствата)</t>
  </si>
  <si>
    <t>Компрометиран доставчик T1195.002 (Compromise Software Supply Chain)</t>
  </si>
  <si>
    <t>Подписът на фърмуера от доставчика не се проверява преди разпространение</t>
  </si>
  <si>
    <t>Зловреден фърмуер от доставчика се инсталира на всички сензори и гейтуеи</t>
  </si>
  <si>
    <t>Обновленията се пускат само от инженерите в HQ</t>
  </si>
  <si>
    <t>R-06</t>
  </si>
  <si>
    <t>A-04 (Сензорни и агрономически данни)</t>
  </si>
  <si>
    <t>Ransomware T1486 (Data Encrypted for Impact)</t>
  </si>
  <si>
    <t>Няма офлайн резервно копие на сензорните данни</t>
  </si>
  <si>
    <t>Ransomware криптира сървъра на Collector и историята на сензорните данни се губи</t>
  </si>
  <si>
    <t>Ежедневен backup на същия сървър</t>
  </si>
  <si>
    <t>A-09 (WAN връзки Field → HQ)</t>
  </si>
  <si>
    <t>Отказ на мобилния оператор (не е злонамерено действие)</t>
  </si>
  <si>
    <t>Една връзка към всеки теренен офис, без резервен канал</t>
  </si>
  <si>
    <t>Прекъсване на връзката спира данните от полетата към централата за няколко часа</t>
  </si>
  <si>
    <t>Гейтуеите буферират данните локално</t>
  </si>
  <si>
    <t>R-08</t>
  </si>
  <si>
    <t>A-12 (Инженер IoT (ключово знание))</t>
  </si>
  <si>
    <t>Напускане или дълго отсъствие на ключов служител (не е злонамерено действие)</t>
  </si>
  <si>
    <t>Само един инженер познава конфигурацията на IoT мрежата; няма документация</t>
  </si>
  <si>
    <t>При напускане на инженера обновленията и възстановяването се бавят със седмици</t>
  </si>
  <si>
    <t>Предизвестие по трудов договор</t>
  </si>
  <si>
    <t>R-09</t>
  </si>
  <si>
    <t>A-13 (AI асистент за анализ на сензорни данни)</t>
  </si>
  <si>
    <t>Подправени входни данни AML.T0020 (Poison Training Data, MITRE ATLAS)</t>
  </si>
  <si>
    <t>Асистентът се обучава върху сензорни данни без проверка за аномалии</t>
  </si>
  <si>
    <t>Подправени данни карат асистента да дава грешни агрономически предложения</t>
  </si>
  <si>
    <t>Асистентът дава само предложения, решението е на агронома</t>
  </si>
  <si>
    <t>R-10</t>
  </si>
  <si>
    <t>Външен нападател T1498.001 (Direct Network Flood)</t>
  </si>
  <si>
    <t>Няма rate limit за UDP 5000</t>
  </si>
  <si>
    <t>UDP flood претоварва Collector и данните от полетата се губят</t>
  </si>
  <si>
    <t>R-11</t>
  </si>
  <si>
    <t>A-10 (Потребителски акаунти и роли (инженер, теренен оператор))</t>
  </si>
  <si>
    <t>Бивш служител T1078 (Valid Accounts)</t>
  </si>
  <si>
    <t>Няма процедура за деактивиране на акаунтите при напускане</t>
  </si>
  <si>
    <t>Бивш теренен оператор продължава да влиза с акаунта си и вижда данните на клиентите</t>
  </si>
  <si>
    <t>Ръчно изтриване по искане на управителя</t>
  </si>
  <si>
    <t>R-12</t>
  </si>
  <si>
    <t>A-07 (IoT Gateway Хасково)</t>
  </si>
  <si>
    <t>Кражба или повреда на оборудване (физическа заплаха)</t>
  </si>
  <si>
    <t>Гейтуеят е в помещение без заключване и видеонаблюдение</t>
  </si>
  <si>
    <t>Гейтуеят в Хасково е откраднат и данните от полетата спират до подмяната му</t>
  </si>
  <si>
    <t>Резервен гейтуей в централата</t>
  </si>
  <si>
    <t>Достъп до dashboard-а с откраднат акаунт</t>
  </si>
  <si>
    <t>MFA (TOTP) в Keycloak, dashboard зад oauth2-proxy + обучение срещу фишинг</t>
  </si>
  <si>
    <t>A.8.5, A.6.3</t>
  </si>
  <si>
    <t>Подправени сензорни данни към Collector</t>
  </si>
  <si>
    <t>WireGuard тунел Field → HQ + приемане само от IP адресите на гейтуеите</t>
  </si>
  <si>
    <t>A.8.24, A.8.20</t>
  </si>
  <si>
    <t>Компрометиране на Config Server през SSH</t>
  </si>
  <si>
    <t>SSH само с ключове + fail2ban + достъп само за роля „инженер“</t>
  </si>
  <si>
    <t>Локална промяна на конфигурацията на гейтуей</t>
  </si>
  <si>
    <t>Смяна на фабричните пароли, изключена локална конзола, промени само от HQ през 8022</t>
  </si>
  <si>
    <t>A.8.9, A.5.17</t>
  </si>
  <si>
    <t>Зловреден фърмуер от доставчик</t>
  </si>
  <si>
    <t>Проверка на подписа на фърмуера + договорни изисквания към доставчика за подписване и уведомяване</t>
  </si>
  <si>
    <t>A.5.19, A.5.21</t>
  </si>
  <si>
    <t>Загуба на сензорните данни при ransomware</t>
  </si>
  <si>
    <t>Офлайн backup в отделен сегмент + месечен тест на възстановяването</t>
  </si>
  <si>
    <t>A.8.13</t>
  </si>
  <si>
    <t>Прекъсване на връзката Field → HQ</t>
  </si>
  <si>
    <t>Загуба на ключово знание при напускане на инженер</t>
  </si>
  <si>
    <t>Грешни предложения от AI асистента</t>
  </si>
  <si>
    <t>UDP flood срещу Collector</t>
  </si>
  <si>
    <t>nftables limit rate за UDP 5000 от всеки Field сегмент + аларма в Wazuh</t>
  </si>
  <si>
    <t>A.8.6, A.8.20</t>
  </si>
  <si>
    <t>Неизтрит акаунт на бивш служител</t>
  </si>
  <si>
    <t>Кражба на гейтуей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</si>
</sst>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F2F2F2"/>
      </patternFill>
    </fill>
    <fill>
      <patternFill patternType="solid">
        <fgColor rgb="FFC6EFCE"/>
        <bgColor rgb="FFE7E6E6"/>
      </patternFill>
    </fill>
    <fill>
      <patternFill patternType="solid">
        <fgColor rgb="FFFFEB9C"/>
        <bgColor rgb="FFFFF2CC"/>
      </patternFill>
    </fill>
    <fill>
      <patternFill patternType="solid">
        <fgColor rgb="FFFFD08A"/>
        <bgColor rgb="FFFFEB9C"/>
      </patternFill>
    </fill>
    <fill>
      <patternFill patternType="solid">
        <fgColor rgb="FFFFC7CE"/>
        <bgColor rgb="FFFFD08A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1" xfId="0" applyFont="1" applyFill="1" applyBorder="1"/>
    <xf numFmtId="0" fontId="6" fillId="0" borderId="0" xfId="0" applyFont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9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top" wrapText="1"/>
    </xf>
    <xf numFmtId="0" fontId="8" fillId="9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</cellXfs>
  <cellStyles count="1">
    <cellStyle name="Normal" xfId="0" builtinId="0"/>
  </cellStyles>
  <dxfs count="24">
    <dxf>
      <fill>
        <patternFill>
          <bgColor rgb="FFFFC7CE"/>
        </patternFill>
      </fill>
    </dxf>
    <dxf>
      <fill>
        <patternFill>
          <bgColor rgb="FFFFD08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08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08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08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08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08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FD08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rkonora/Downloads/AgroTech_ris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нструкции"/>
      <sheetName val="Скали"/>
      <sheetName val="Регистър на активите"/>
      <sheetName val="Регистър на риска"/>
      <sheetName val="План за третиране"/>
    </sheetNames>
    <sheetDataSet>
      <sheetData sheetId="0"/>
      <sheetData sheetId="1">
        <row r="1">
          <cell r="B1">
            <v>9</v>
          </cell>
        </row>
      </sheetData>
      <sheetData sheetId="2"/>
      <sheetData sheetId="3">
        <row r="1">
          <cell r="A1" t="str">
            <v>R-ID</v>
          </cell>
          <cell r="I1" t="str">
            <v>Риск</v>
          </cell>
        </row>
        <row r="2">
          <cell r="A2" t="str">
            <v>R-01</v>
          </cell>
          <cell r="I2">
            <v>16</v>
          </cell>
        </row>
        <row r="3">
          <cell r="A3" t="str">
            <v>R-02</v>
          </cell>
          <cell r="I3">
            <v>12</v>
          </cell>
        </row>
        <row r="4">
          <cell r="A4" t="str">
            <v>R-03</v>
          </cell>
          <cell r="I4">
            <v>10</v>
          </cell>
        </row>
        <row r="5">
          <cell r="A5" t="str">
            <v>R-04</v>
          </cell>
          <cell r="I5">
            <v>12</v>
          </cell>
        </row>
        <row r="6">
          <cell r="A6" t="str">
            <v>R-05</v>
          </cell>
          <cell r="I6">
            <v>10</v>
          </cell>
        </row>
        <row r="7">
          <cell r="A7" t="str">
            <v>R-06</v>
          </cell>
          <cell r="I7">
            <v>12</v>
          </cell>
        </row>
        <row r="8">
          <cell r="A8" t="str">
            <v>R-07</v>
          </cell>
          <cell r="I8">
            <v>6</v>
          </cell>
        </row>
        <row r="9">
          <cell r="A9" t="str">
            <v>R-08</v>
          </cell>
          <cell r="I9">
            <v>9</v>
          </cell>
        </row>
        <row r="10">
          <cell r="A10" t="str">
            <v>R-09</v>
          </cell>
          <cell r="I10">
            <v>3</v>
          </cell>
        </row>
        <row r="11">
          <cell r="A11" t="str">
            <v>R-10</v>
          </cell>
          <cell r="I11">
            <v>12</v>
          </cell>
        </row>
        <row r="12">
          <cell r="A12" t="str">
            <v>R-11</v>
          </cell>
          <cell r="I12">
            <v>6</v>
          </cell>
        </row>
        <row r="13">
          <cell r="A13" t="str">
            <v>R-12</v>
          </cell>
          <cell r="I13">
            <v>4</v>
          </cell>
        </row>
        <row r="14">
          <cell r="I14" t="str">
            <v/>
          </cell>
        </row>
        <row r="15">
          <cell r="I15" t="str">
            <v/>
          </cell>
        </row>
        <row r="16">
          <cell r="I16" t="str">
            <v/>
          </cell>
        </row>
        <row r="17">
          <cell r="I17" t="str">
            <v/>
          </cell>
        </row>
        <row r="18">
          <cell r="I18" t="str">
            <v/>
          </cell>
        </row>
        <row r="19">
          <cell r="I19" t="str">
            <v/>
          </cell>
        </row>
        <row r="20">
          <cell r="I20" t="str">
            <v/>
          </cell>
        </row>
        <row r="21">
          <cell r="I21" t="str">
            <v/>
          </cell>
        </row>
        <row r="22">
          <cell r="I22" t="str">
            <v/>
          </cell>
        </row>
        <row r="23">
          <cell r="I23" t="str">
            <v/>
          </cell>
        </row>
        <row r="24">
          <cell r="I24" t="str">
            <v/>
          </cell>
        </row>
        <row r="25">
          <cell r="I25" t="str">
            <v/>
          </cell>
        </row>
        <row r="26">
          <cell r="I26" t="str">
            <v/>
          </cell>
        </row>
        <row r="27">
          <cell r="I27" t="str">
            <v/>
          </cell>
        </row>
        <row r="28">
          <cell r="I28" t="str">
            <v/>
          </cell>
        </row>
        <row r="29">
          <cell r="I29" t="str">
            <v/>
          </cell>
        </row>
        <row r="30">
          <cell r="I30" t="str">
            <v/>
          </cell>
        </row>
        <row r="31">
          <cell r="I31" t="str">
            <v/>
          </cell>
        </row>
        <row r="32">
          <cell r="I32" t="str">
            <v/>
          </cell>
        </row>
        <row r="33">
          <cell r="I33" t="str">
            <v/>
          </cell>
        </row>
        <row r="34">
          <cell r="I34" t="str">
            <v/>
          </cell>
        </row>
        <row r="35">
          <cell r="I35" t="str">
            <v/>
          </cell>
        </row>
        <row r="36">
          <cell r="I36" t="str">
            <v/>
          </cell>
        </row>
        <row r="37">
          <cell r="I37" t="str">
            <v/>
          </cell>
        </row>
        <row r="38">
          <cell r="I38" t="str">
            <v/>
          </cell>
        </row>
        <row r="39">
          <cell r="I39" t="str">
            <v/>
          </cell>
        </row>
        <row r="40">
          <cell r="I40" t="str">
            <v/>
          </cell>
        </row>
        <row r="41">
          <cell r="I41" t="str">
            <v/>
          </cell>
        </row>
        <row r="42">
          <cell r="I42" t="str">
            <v/>
          </cell>
        </row>
        <row r="43">
          <cell r="I43" t="str">
            <v/>
          </cell>
        </row>
        <row r="44">
          <cell r="I44" t="str">
            <v/>
          </cell>
        </row>
        <row r="45">
          <cell r="I45" t="str">
            <v/>
          </cell>
        </row>
        <row r="46">
          <cell r="I46" t="str">
            <v/>
          </cell>
        </row>
        <row r="47">
          <cell r="I47" t="str">
            <v/>
          </cell>
        </row>
        <row r="48">
          <cell r="I48" t="str">
            <v/>
          </cell>
        </row>
        <row r="49">
          <cell r="I49" t="str">
            <v/>
          </cell>
        </row>
        <row r="50">
          <cell r="I50" t="str">
            <v/>
          </cell>
        </row>
        <row r="51">
          <cell r="I51" t="str">
            <v/>
          </cell>
        </row>
        <row r="52">
          <cell r="I52" t="str">
            <v/>
          </cell>
        </row>
        <row r="53">
          <cell r="I53" t="str">
            <v/>
          </cell>
        </row>
        <row r="54">
          <cell r="I54" t="str">
            <v/>
          </cell>
        </row>
        <row r="55">
          <cell r="I55" t="str">
            <v/>
          </cell>
        </row>
        <row r="56">
          <cell r="I56" t="str">
            <v/>
          </cell>
        </row>
        <row r="57">
          <cell r="I57" t="str">
            <v/>
          </cell>
        </row>
        <row r="58">
          <cell r="I58" t="str">
            <v/>
          </cell>
        </row>
        <row r="59">
          <cell r="I59" t="str">
            <v/>
          </cell>
        </row>
        <row r="60">
          <cell r="I60" t="str">
            <v/>
          </cell>
        </row>
        <row r="61">
          <cell r="I61" t="str">
            <v/>
          </cell>
        </row>
        <row r="62">
          <cell r="I62" t="str">
            <v/>
          </cell>
        </row>
        <row r="63">
          <cell r="I63" t="str">
            <v/>
          </cell>
        </row>
        <row r="64">
          <cell r="I64" t="str">
            <v/>
          </cell>
        </row>
        <row r="65">
          <cell r="I65" t="str">
            <v/>
          </cell>
        </row>
        <row r="66">
          <cell r="I66" t="str">
            <v/>
          </cell>
        </row>
        <row r="67">
          <cell r="I67" t="str">
            <v/>
          </cell>
        </row>
        <row r="68">
          <cell r="I68" t="str">
            <v/>
          </cell>
        </row>
        <row r="69">
          <cell r="I69" t="str">
            <v/>
          </cell>
        </row>
        <row r="70">
          <cell r="I70" t="str">
            <v/>
          </cell>
        </row>
        <row r="71">
          <cell r="I71" t="str">
            <v/>
          </cell>
        </row>
        <row r="72">
          <cell r="I72" t="str">
            <v/>
          </cell>
        </row>
        <row r="73">
          <cell r="I73" t="str">
            <v/>
          </cell>
        </row>
        <row r="74">
          <cell r="I74" t="str">
            <v/>
          </cell>
        </row>
        <row r="75">
          <cell r="I75" t="str">
            <v/>
          </cell>
        </row>
        <row r="76">
          <cell r="I76" t="str">
            <v/>
          </cell>
        </row>
        <row r="77">
          <cell r="I77" t="str">
            <v/>
          </cell>
        </row>
        <row r="78">
          <cell r="I78" t="str">
            <v/>
          </cell>
        </row>
        <row r="79">
          <cell r="I79" t="str">
            <v/>
          </cell>
        </row>
        <row r="80">
          <cell r="I80" t="str">
            <v/>
          </cell>
        </row>
        <row r="81">
          <cell r="I81" t="str">
            <v/>
          </cell>
        </row>
        <row r="82">
          <cell r="I82" t="str">
            <v/>
          </cell>
        </row>
        <row r="83">
          <cell r="I83" t="str">
            <v/>
          </cell>
        </row>
        <row r="84">
          <cell r="I84" t="str">
            <v/>
          </cell>
        </row>
        <row r="85">
          <cell r="I85" t="str">
            <v/>
          </cell>
        </row>
        <row r="86">
          <cell r="I86" t="str">
            <v/>
          </cell>
        </row>
        <row r="87">
          <cell r="I87" t="str">
            <v/>
          </cell>
        </row>
        <row r="88">
          <cell r="I88" t="str">
            <v/>
          </cell>
        </row>
        <row r="89">
          <cell r="I89" t="str">
            <v/>
          </cell>
        </row>
        <row r="90">
          <cell r="I90" t="str">
            <v/>
          </cell>
        </row>
        <row r="91">
          <cell r="I91" t="str">
            <v/>
          </cell>
        </row>
        <row r="92">
          <cell r="I92" t="str">
            <v/>
          </cell>
        </row>
        <row r="93">
          <cell r="I93" t="str">
            <v/>
          </cell>
        </row>
        <row r="94">
          <cell r="I94" t="str">
            <v/>
          </cell>
        </row>
        <row r="95">
          <cell r="I95" t="str">
            <v/>
          </cell>
        </row>
        <row r="96">
          <cell r="I96" t="str">
            <v/>
          </cell>
        </row>
        <row r="97">
          <cell r="I97" t="str">
            <v/>
          </cell>
        </row>
        <row r="98">
          <cell r="I98" t="str">
            <v/>
          </cell>
        </row>
        <row r="99">
          <cell r="I99" t="str">
            <v/>
          </cell>
        </row>
        <row r="100">
          <cell r="I100" t="str">
            <v/>
          </cell>
        </row>
        <row r="101">
          <cell r="I101" t="str">
            <v/>
          </cell>
        </row>
        <row r="102">
          <cell r="I102" t="str">
            <v/>
          </cell>
        </row>
        <row r="103">
          <cell r="I103" t="str">
            <v/>
          </cell>
        </row>
        <row r="104">
          <cell r="I104" t="str">
            <v/>
          </cell>
        </row>
        <row r="105">
          <cell r="I105" t="str">
            <v/>
          </cell>
        </row>
        <row r="106">
          <cell r="I106" t="str">
            <v/>
          </cell>
        </row>
        <row r="107">
          <cell r="I107" t="str">
            <v/>
          </cell>
        </row>
        <row r="108">
          <cell r="I108" t="str">
            <v/>
          </cell>
        </row>
        <row r="109">
          <cell r="I109" t="str">
            <v/>
          </cell>
        </row>
        <row r="110">
          <cell r="I110" t="str">
            <v/>
          </cell>
        </row>
        <row r="111">
          <cell r="I111" t="str">
            <v/>
          </cell>
        </row>
        <row r="112">
          <cell r="I112" t="str">
            <v/>
          </cell>
        </row>
        <row r="113">
          <cell r="I113" t="str">
            <v/>
          </cell>
        </row>
        <row r="114">
          <cell r="I114" t="str">
            <v/>
          </cell>
        </row>
        <row r="115">
          <cell r="I115" t="str">
            <v/>
          </cell>
        </row>
        <row r="116">
          <cell r="I116" t="str">
            <v/>
          </cell>
        </row>
        <row r="117">
          <cell r="I117" t="str">
            <v/>
          </cell>
        </row>
        <row r="118">
          <cell r="I118" t="str">
            <v/>
          </cell>
        </row>
        <row r="119">
          <cell r="I119" t="str">
            <v/>
          </cell>
        </row>
        <row r="120">
          <cell r="I120" t="str">
            <v/>
          </cell>
        </row>
        <row r="121">
          <cell r="I121" t="str">
            <v/>
          </cell>
        </row>
        <row r="122">
          <cell r="I122" t="str">
            <v/>
          </cell>
        </row>
        <row r="123">
          <cell r="I123" t="str">
            <v/>
          </cell>
        </row>
        <row r="124">
          <cell r="I124" t="str">
            <v/>
          </cell>
        </row>
        <row r="125">
          <cell r="I125" t="str">
            <v/>
          </cell>
        </row>
        <row r="126">
          <cell r="I126" t="str">
            <v/>
          </cell>
        </row>
        <row r="127">
          <cell r="I127" t="str">
            <v/>
          </cell>
        </row>
        <row r="128">
          <cell r="I128" t="str">
            <v/>
          </cell>
        </row>
        <row r="129">
          <cell r="I129" t="str">
            <v/>
          </cell>
        </row>
        <row r="130">
          <cell r="I130" t="str">
            <v/>
          </cell>
        </row>
        <row r="131">
          <cell r="I131" t="str">
            <v/>
          </cell>
        </row>
        <row r="132">
          <cell r="I132" t="str">
            <v/>
          </cell>
        </row>
        <row r="133">
          <cell r="I133" t="str">
            <v/>
          </cell>
        </row>
        <row r="134">
          <cell r="I134" t="str">
            <v/>
          </cell>
        </row>
        <row r="135">
          <cell r="I135" t="str">
            <v/>
          </cell>
        </row>
        <row r="136">
          <cell r="I136" t="str">
            <v/>
          </cell>
        </row>
        <row r="137">
          <cell r="I137" t="str">
            <v/>
          </cell>
        </row>
        <row r="138">
          <cell r="I138" t="str">
            <v/>
          </cell>
        </row>
        <row r="139">
          <cell r="I139" t="str">
            <v/>
          </cell>
        </row>
        <row r="140">
          <cell r="I140" t="str">
            <v/>
          </cell>
        </row>
        <row r="141">
          <cell r="I141" t="str">
            <v/>
          </cell>
        </row>
        <row r="142">
          <cell r="I142" t="str">
            <v/>
          </cell>
        </row>
        <row r="143">
          <cell r="I143" t="str">
            <v/>
          </cell>
        </row>
        <row r="144">
          <cell r="I144" t="str">
            <v/>
          </cell>
        </row>
        <row r="145">
          <cell r="I145" t="str">
            <v/>
          </cell>
        </row>
        <row r="146">
          <cell r="I146" t="str">
            <v/>
          </cell>
        </row>
        <row r="147">
          <cell r="I147" t="str">
            <v/>
          </cell>
        </row>
        <row r="148">
          <cell r="I148" t="str">
            <v/>
          </cell>
        </row>
        <row r="149">
          <cell r="I149" t="str">
            <v/>
          </cell>
        </row>
        <row r="150">
          <cell r="I150" t="str">
            <v/>
          </cell>
        </row>
        <row r="151">
          <cell r="I151" t="str">
            <v/>
          </cell>
        </row>
        <row r="152">
          <cell r="I152" t="str">
            <v/>
          </cell>
        </row>
        <row r="153">
          <cell r="I153" t="str">
            <v/>
          </cell>
        </row>
        <row r="154">
          <cell r="I154" t="str">
            <v/>
          </cell>
        </row>
        <row r="155">
          <cell r="I155" t="str">
            <v/>
          </cell>
        </row>
        <row r="156">
          <cell r="I156" t="str">
            <v/>
          </cell>
        </row>
        <row r="157">
          <cell r="I157" t="str">
            <v/>
          </cell>
        </row>
        <row r="158">
          <cell r="I158" t="str">
            <v/>
          </cell>
        </row>
        <row r="159">
          <cell r="I159" t="str">
            <v/>
          </cell>
        </row>
        <row r="160">
          <cell r="I160" t="str">
            <v/>
          </cell>
        </row>
        <row r="161">
          <cell r="I161" t="str">
            <v/>
          </cell>
        </row>
        <row r="162">
          <cell r="I162" t="str">
            <v/>
          </cell>
        </row>
        <row r="163">
          <cell r="I163" t="str">
            <v/>
          </cell>
        </row>
        <row r="164">
          <cell r="I164" t="str">
            <v/>
          </cell>
        </row>
        <row r="165">
          <cell r="I165" t="str">
            <v/>
          </cell>
        </row>
        <row r="166">
          <cell r="I166" t="str">
            <v/>
          </cell>
        </row>
        <row r="167">
          <cell r="I167" t="str">
            <v/>
          </cell>
        </row>
        <row r="168">
          <cell r="I168" t="str">
            <v/>
          </cell>
        </row>
        <row r="169">
          <cell r="I169" t="str">
            <v/>
          </cell>
        </row>
        <row r="170">
          <cell r="I170" t="str">
            <v/>
          </cell>
        </row>
        <row r="171">
          <cell r="I171" t="str">
            <v/>
          </cell>
        </row>
        <row r="172">
          <cell r="I172" t="str">
            <v/>
          </cell>
        </row>
        <row r="173">
          <cell r="I173" t="str">
            <v/>
          </cell>
        </row>
        <row r="174">
          <cell r="I174" t="str">
            <v/>
          </cell>
        </row>
        <row r="175">
          <cell r="I175" t="str">
            <v/>
          </cell>
        </row>
        <row r="176">
          <cell r="I176" t="str">
            <v/>
          </cell>
        </row>
        <row r="177">
          <cell r="I177" t="str">
            <v/>
          </cell>
        </row>
        <row r="178">
          <cell r="I178" t="str">
            <v/>
          </cell>
        </row>
        <row r="179">
          <cell r="I179" t="str">
            <v/>
          </cell>
        </row>
        <row r="180">
          <cell r="I180" t="str">
            <v/>
          </cell>
        </row>
        <row r="181">
          <cell r="I181" t="str">
            <v/>
          </cell>
        </row>
        <row r="182">
          <cell r="I182" t="str">
            <v/>
          </cell>
        </row>
        <row r="183">
          <cell r="I183" t="str">
            <v/>
          </cell>
        </row>
        <row r="184">
          <cell r="I184" t="str">
            <v/>
          </cell>
        </row>
        <row r="185">
          <cell r="I185" t="str">
            <v/>
          </cell>
        </row>
        <row r="186">
          <cell r="I186" t="str">
            <v/>
          </cell>
        </row>
        <row r="187">
          <cell r="I187" t="str">
            <v/>
          </cell>
        </row>
        <row r="188">
          <cell r="I188" t="str">
            <v/>
          </cell>
        </row>
        <row r="189">
          <cell r="I189" t="str">
            <v/>
          </cell>
        </row>
        <row r="190">
          <cell r="I190" t="str">
            <v/>
          </cell>
        </row>
        <row r="191">
          <cell r="I191" t="str">
            <v/>
          </cell>
        </row>
        <row r="192">
          <cell r="I192" t="str">
            <v/>
          </cell>
        </row>
        <row r="193">
          <cell r="I193" t="str">
            <v/>
          </cell>
        </row>
        <row r="194">
          <cell r="I194" t="str">
            <v/>
          </cell>
        </row>
        <row r="195">
          <cell r="I195" t="str">
            <v/>
          </cell>
        </row>
        <row r="196">
          <cell r="I196" t="str">
            <v/>
          </cell>
        </row>
        <row r="197">
          <cell r="I197" t="str">
            <v/>
          </cell>
        </row>
        <row r="198">
          <cell r="I198" t="str">
            <v/>
          </cell>
        </row>
        <row r="199">
          <cell r="I199" t="str">
            <v/>
          </cell>
        </row>
        <row r="200">
          <cell r="I200" t="str">
            <v/>
          </cell>
        </row>
        <row r="201">
          <cell r="I201" t="str">
            <v/>
          </cell>
        </row>
        <row r="202">
          <cell r="I202" t="str">
            <v/>
          </cell>
        </row>
        <row r="203">
          <cell r="I203" t="str">
            <v/>
          </cell>
        </row>
        <row r="204">
          <cell r="I204" t="str">
            <v/>
          </cell>
        </row>
        <row r="205">
          <cell r="I205" t="str">
            <v/>
          </cell>
        </row>
        <row r="206">
          <cell r="I206" t="str">
            <v/>
          </cell>
        </row>
        <row r="207">
          <cell r="I207" t="str">
            <v/>
          </cell>
        </row>
        <row r="208">
          <cell r="I208" t="str">
            <v/>
          </cell>
        </row>
        <row r="209">
          <cell r="I209" t="str">
            <v/>
          </cell>
        </row>
        <row r="210">
          <cell r="I210" t="str">
            <v/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2"/>
  <sheetViews>
    <sheetView showGridLines="0" zoomScaleNormal="100" workbookViewId="0">
      <selection activeCell="A12" sqref="A12"/>
    </sheetView>
  </sheetViews>
  <sheetFormatPr defaultColWidth="8.6640625"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3" t="s">
        <v>1</v>
      </c>
    </row>
    <row r="4" spans="1:1" x14ac:dyDescent="0.3">
      <c r="A4" s="2"/>
    </row>
    <row r="5" spans="1:1" x14ac:dyDescent="0.3">
      <c r="A5" s="3" t="s">
        <v>2</v>
      </c>
    </row>
    <row r="6" spans="1:1" x14ac:dyDescent="0.3">
      <c r="A6" s="2" t="s">
        <v>3</v>
      </c>
    </row>
    <row r="7" spans="1:1" ht="27.6" x14ac:dyDescent="0.3">
      <c r="A7" s="2" t="s">
        <v>4</v>
      </c>
    </row>
    <row r="8" spans="1:1" x14ac:dyDescent="0.3">
      <c r="A8" s="2" t="s">
        <v>147</v>
      </c>
    </row>
    <row r="9" spans="1:1" x14ac:dyDescent="0.3">
      <c r="A9" s="2"/>
    </row>
    <row r="10" spans="1:1" x14ac:dyDescent="0.3">
      <c r="A10" s="3" t="s">
        <v>5</v>
      </c>
    </row>
    <row r="11" spans="1:1" x14ac:dyDescent="0.3">
      <c r="A11" s="2" t="s">
        <v>6</v>
      </c>
    </row>
    <row r="12" spans="1:1" ht="27.6" x14ac:dyDescent="0.3">
      <c r="A12" s="2" t="s">
        <v>7</v>
      </c>
    </row>
    <row r="13" spans="1:1" ht="27.6" x14ac:dyDescent="0.3">
      <c r="A13" s="2" t="s">
        <v>8</v>
      </c>
    </row>
    <row r="14" spans="1:1" x14ac:dyDescent="0.3">
      <c r="A14" s="2" t="s">
        <v>9</v>
      </c>
    </row>
    <row r="15" spans="1:1" x14ac:dyDescent="0.3">
      <c r="A15" s="2" t="s">
        <v>144</v>
      </c>
    </row>
    <row r="16" spans="1:1" x14ac:dyDescent="0.3">
      <c r="A16" s="2"/>
    </row>
    <row r="17" spans="1:1" x14ac:dyDescent="0.3">
      <c r="A17" s="3" t="s">
        <v>10</v>
      </c>
    </row>
    <row r="18" spans="1:1" x14ac:dyDescent="0.3">
      <c r="A18" s="2" t="s">
        <v>145</v>
      </c>
    </row>
    <row r="19" spans="1:1" x14ac:dyDescent="0.3">
      <c r="A19" s="2" t="s">
        <v>11</v>
      </c>
    </row>
    <row r="20" spans="1:1" x14ac:dyDescent="0.3">
      <c r="A20" s="2" t="s">
        <v>146</v>
      </c>
    </row>
    <row r="21" spans="1:1" x14ac:dyDescent="0.3">
      <c r="A21" s="2"/>
    </row>
    <row r="22" spans="1:1" ht="27.6" x14ac:dyDescent="0.3">
      <c r="A22" s="4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Views>
    <sheetView showGridLines="0" topLeftCell="A10" zoomScaleNormal="100" workbookViewId="0">
      <selection activeCell="B31" sqref="B31"/>
    </sheetView>
  </sheetViews>
  <sheetFormatPr defaultColWidth="8.6640625" defaultRowHeight="14.4" x14ac:dyDescent="0.3"/>
  <cols>
    <col min="1" max="1" width="34" customWidth="1"/>
    <col min="2" max="2" width="46" customWidth="1"/>
    <col min="3" max="4" width="20" customWidth="1"/>
    <col min="5" max="5" width="26" customWidth="1"/>
  </cols>
  <sheetData>
    <row r="1" spans="1:5" ht="39.6" x14ac:dyDescent="0.3">
      <c r="A1" s="5" t="s">
        <v>13</v>
      </c>
      <c r="B1" s="6">
        <v>9</v>
      </c>
    </row>
    <row r="2" spans="1:5" ht="22.8" x14ac:dyDescent="0.3">
      <c r="A2" s="7" t="s">
        <v>14</v>
      </c>
    </row>
    <row r="4" spans="1:5" ht="27.6" x14ac:dyDescent="0.3">
      <c r="A4" s="8" t="s">
        <v>15</v>
      </c>
    </row>
    <row r="5" spans="1:5" x14ac:dyDescent="0.3">
      <c r="A5" s="5" t="s">
        <v>16</v>
      </c>
      <c r="B5" s="9" t="s">
        <v>17</v>
      </c>
    </row>
    <row r="6" spans="1:5" x14ac:dyDescent="0.3">
      <c r="A6" s="5" t="s">
        <v>18</v>
      </c>
      <c r="B6" s="9" t="s">
        <v>19</v>
      </c>
    </row>
    <row r="7" spans="1:5" x14ac:dyDescent="0.3">
      <c r="A7" s="5" t="s">
        <v>20</v>
      </c>
      <c r="B7" s="9" t="s">
        <v>21</v>
      </c>
    </row>
    <row r="8" spans="1:5" ht="26.4" x14ac:dyDescent="0.3">
      <c r="A8" s="5" t="s">
        <v>22</v>
      </c>
      <c r="B8" s="9" t="s">
        <v>23</v>
      </c>
    </row>
    <row r="9" spans="1:5" x14ac:dyDescent="0.3">
      <c r="A9" s="5" t="s">
        <v>24</v>
      </c>
      <c r="B9" s="9" t="s">
        <v>25</v>
      </c>
    </row>
    <row r="11" spans="1:5" ht="41.4" x14ac:dyDescent="0.3">
      <c r="A11" s="8" t="s">
        <v>26</v>
      </c>
    </row>
    <row r="12" spans="1:5" x14ac:dyDescent="0.3">
      <c r="A12" s="10" t="s">
        <v>27</v>
      </c>
      <c r="B12" s="10" t="s">
        <v>28</v>
      </c>
      <c r="C12" s="10" t="s">
        <v>29</v>
      </c>
      <c r="D12" s="10" t="s">
        <v>30</v>
      </c>
      <c r="E12" s="10" t="s">
        <v>31</v>
      </c>
    </row>
    <row r="13" spans="1:5" ht="26.4" x14ac:dyDescent="0.3">
      <c r="A13" s="5" t="s">
        <v>32</v>
      </c>
      <c r="B13" s="9" t="s">
        <v>33</v>
      </c>
      <c r="C13" s="9" t="s">
        <v>34</v>
      </c>
      <c r="D13" s="9" t="s">
        <v>35</v>
      </c>
      <c r="E13" s="9" t="s">
        <v>36</v>
      </c>
    </row>
    <row r="14" spans="1:5" ht="26.4" x14ac:dyDescent="0.3">
      <c r="A14" s="5" t="s">
        <v>37</v>
      </c>
      <c r="B14" s="9" t="s">
        <v>38</v>
      </c>
      <c r="C14" s="9" t="s">
        <v>39</v>
      </c>
      <c r="D14" s="9" t="s">
        <v>40</v>
      </c>
      <c r="E14" s="9" t="s">
        <v>41</v>
      </c>
    </row>
    <row r="15" spans="1:5" ht="26.4" x14ac:dyDescent="0.3">
      <c r="A15" s="5" t="s">
        <v>42</v>
      </c>
      <c r="B15" s="9" t="s">
        <v>43</v>
      </c>
      <c r="C15" s="9" t="s">
        <v>44</v>
      </c>
      <c r="D15" s="9" t="s">
        <v>45</v>
      </c>
      <c r="E15" s="9" t="s">
        <v>46</v>
      </c>
    </row>
    <row r="16" spans="1:5" ht="26.4" x14ac:dyDescent="0.3">
      <c r="A16" s="5" t="s">
        <v>47</v>
      </c>
      <c r="B16" s="9" t="s">
        <v>48</v>
      </c>
      <c r="C16" s="9" t="s">
        <v>49</v>
      </c>
      <c r="D16" s="9" t="s">
        <v>50</v>
      </c>
      <c r="E16" s="9" t="s">
        <v>51</v>
      </c>
    </row>
    <row r="17" spans="1:5" ht="26.4" x14ac:dyDescent="0.3">
      <c r="A17" s="5" t="s">
        <v>52</v>
      </c>
      <c r="B17" s="9" t="s">
        <v>53</v>
      </c>
      <c r="C17" s="9" t="s">
        <v>54</v>
      </c>
      <c r="D17" s="9" t="s">
        <v>55</v>
      </c>
      <c r="E17" s="9" t="s">
        <v>56</v>
      </c>
    </row>
    <row r="19" spans="1:5" ht="27.6" x14ac:dyDescent="0.3">
      <c r="A19" s="8" t="s">
        <v>57</v>
      </c>
    </row>
    <row r="20" spans="1:5" x14ac:dyDescent="0.3">
      <c r="A20" s="10" t="s">
        <v>27</v>
      </c>
      <c r="B20" s="10" t="s">
        <v>58</v>
      </c>
      <c r="C20" s="10" t="s">
        <v>59</v>
      </c>
      <c r="D20" s="10" t="s">
        <v>60</v>
      </c>
    </row>
    <row r="21" spans="1:5" ht="26.4" x14ac:dyDescent="0.3">
      <c r="A21" s="5" t="s">
        <v>61</v>
      </c>
      <c r="B21" s="9" t="s">
        <v>62</v>
      </c>
      <c r="C21" s="11"/>
      <c r="D21" s="9" t="s">
        <v>63</v>
      </c>
    </row>
    <row r="22" spans="1:5" x14ac:dyDescent="0.3">
      <c r="A22" s="5" t="s">
        <v>64</v>
      </c>
      <c r="B22" s="9" t="s">
        <v>65</v>
      </c>
      <c r="C22" s="12"/>
      <c r="D22" s="9" t="s">
        <v>66</v>
      </c>
    </row>
    <row r="23" spans="1:5" x14ac:dyDescent="0.3">
      <c r="A23" s="5" t="s">
        <v>67</v>
      </c>
      <c r="B23" s="9" t="s">
        <v>68</v>
      </c>
      <c r="C23" s="13"/>
      <c r="D23" s="9" t="s">
        <v>69</v>
      </c>
    </row>
    <row r="24" spans="1:5" ht="39.6" x14ac:dyDescent="0.3">
      <c r="A24" s="5" t="s">
        <v>70</v>
      </c>
      <c r="B24" s="9" t="s">
        <v>71</v>
      </c>
      <c r="C24" s="14"/>
      <c r="D24" s="9" t="s">
        <v>72</v>
      </c>
    </row>
    <row r="26" spans="1:5" x14ac:dyDescent="0.3">
      <c r="A26" s="8" t="s">
        <v>73</v>
      </c>
    </row>
    <row r="27" spans="1:5" ht="26.4" x14ac:dyDescent="0.3">
      <c r="A27" s="5" t="s">
        <v>74</v>
      </c>
      <c r="B27" s="9" t="s">
        <v>75</v>
      </c>
    </row>
    <row r="28" spans="1:5" ht="26.4" x14ac:dyDescent="0.3">
      <c r="A28" s="5" t="s">
        <v>76</v>
      </c>
      <c r="B28" s="9" t="s">
        <v>77</v>
      </c>
    </row>
    <row r="29" spans="1:5" x14ac:dyDescent="0.3">
      <c r="A29" s="5" t="s">
        <v>78</v>
      </c>
      <c r="B29" s="9" t="s">
        <v>79</v>
      </c>
    </row>
    <row r="30" spans="1:5" ht="26.4" x14ac:dyDescent="0.3">
      <c r="A30" s="5" t="s">
        <v>80</v>
      </c>
      <c r="B30" s="9" t="s">
        <v>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8"/>
  <sheetViews>
    <sheetView tabSelected="1" zoomScaleNormal="100" workbookViewId="0">
      <pane ySplit="1" topLeftCell="A2" activePane="bottomLeft" state="frozen"/>
      <selection pane="bottomLeft" activeCell="I9" sqref="I9"/>
    </sheetView>
  </sheetViews>
  <sheetFormatPr defaultColWidth="8.6640625" defaultRowHeight="14.4" x14ac:dyDescent="0.3"/>
  <cols>
    <col min="1" max="1" width="8" customWidth="1"/>
    <col min="2" max="2" width="32" customWidth="1"/>
    <col min="3" max="3" width="13" customWidth="1"/>
    <col min="4" max="5" width="22" customWidth="1"/>
    <col min="6" max="6" width="18" customWidth="1"/>
    <col min="7" max="7" width="22" customWidth="1"/>
    <col min="8" max="8" width="16" customWidth="1"/>
    <col min="9" max="9" width="34" customWidth="1"/>
  </cols>
  <sheetData>
    <row r="1" spans="1:9" ht="30" customHeight="1" x14ac:dyDescent="0.3">
      <c r="A1" s="15" t="s">
        <v>82</v>
      </c>
      <c r="B1" s="15" t="s">
        <v>83</v>
      </c>
      <c r="C1" s="15" t="s">
        <v>84</v>
      </c>
      <c r="D1" s="15" t="s">
        <v>85</v>
      </c>
      <c r="E1" s="15" t="s">
        <v>86</v>
      </c>
      <c r="F1" s="15" t="s">
        <v>87</v>
      </c>
      <c r="G1" s="15" t="s">
        <v>88</v>
      </c>
      <c r="H1" s="15" t="s">
        <v>89</v>
      </c>
      <c r="I1" s="15" t="s">
        <v>90</v>
      </c>
    </row>
    <row r="2" spans="1:9" ht="26.4" x14ac:dyDescent="0.3">
      <c r="A2" s="16" t="s">
        <v>91</v>
      </c>
      <c r="B2" s="16" t="s">
        <v>153</v>
      </c>
      <c r="C2" s="16" t="s">
        <v>92</v>
      </c>
      <c r="D2" s="16" t="s">
        <v>154</v>
      </c>
      <c r="E2" s="16" t="s">
        <v>155</v>
      </c>
      <c r="F2" s="16" t="s">
        <v>95</v>
      </c>
      <c r="G2" s="16" t="s">
        <v>156</v>
      </c>
      <c r="H2" s="16" t="s">
        <v>157</v>
      </c>
      <c r="I2" s="17"/>
    </row>
    <row r="3" spans="1:9" ht="26.4" x14ac:dyDescent="0.3">
      <c r="A3" s="16" t="s">
        <v>96</v>
      </c>
      <c r="B3" s="16" t="s">
        <v>158</v>
      </c>
      <c r="C3" s="16" t="s">
        <v>92</v>
      </c>
      <c r="D3" s="16" t="s">
        <v>154</v>
      </c>
      <c r="E3" s="16" t="s">
        <v>155</v>
      </c>
      <c r="F3" s="16" t="s">
        <v>95</v>
      </c>
      <c r="G3" s="16" t="s">
        <v>159</v>
      </c>
      <c r="H3" s="16" t="s">
        <v>160</v>
      </c>
      <c r="I3" s="17"/>
    </row>
    <row r="4" spans="1:9" ht="26.4" x14ac:dyDescent="0.3">
      <c r="A4" s="16" t="s">
        <v>100</v>
      </c>
      <c r="B4" s="16" t="s">
        <v>161</v>
      </c>
      <c r="C4" s="16" t="s">
        <v>92</v>
      </c>
      <c r="D4" s="16" t="s">
        <v>93</v>
      </c>
      <c r="E4" s="16" t="s">
        <v>94</v>
      </c>
      <c r="F4" s="16" t="s">
        <v>95</v>
      </c>
      <c r="G4" s="16" t="s">
        <v>162</v>
      </c>
      <c r="H4" s="16" t="s">
        <v>163</v>
      </c>
      <c r="I4" s="17"/>
    </row>
    <row r="5" spans="1:9" ht="26.4" x14ac:dyDescent="0.3">
      <c r="A5" s="16" t="s">
        <v>164</v>
      </c>
      <c r="B5" s="16" t="s">
        <v>165</v>
      </c>
      <c r="C5" s="16" t="s">
        <v>101</v>
      </c>
      <c r="D5" s="16" t="s">
        <v>166</v>
      </c>
      <c r="E5" s="16" t="s">
        <v>155</v>
      </c>
      <c r="F5" s="16" t="s">
        <v>95</v>
      </c>
      <c r="G5" s="16" t="s">
        <v>167</v>
      </c>
      <c r="H5" s="16" t="s">
        <v>91</v>
      </c>
      <c r="I5" s="17"/>
    </row>
    <row r="6" spans="1:9" ht="26.4" x14ac:dyDescent="0.3">
      <c r="A6" s="16" t="s">
        <v>105</v>
      </c>
      <c r="B6" s="16" t="s">
        <v>168</v>
      </c>
      <c r="C6" s="16" t="s">
        <v>97</v>
      </c>
      <c r="D6" s="16" t="s">
        <v>93</v>
      </c>
      <c r="E6" s="16" t="s">
        <v>94</v>
      </c>
      <c r="F6" s="16" t="s">
        <v>98</v>
      </c>
      <c r="G6" s="16" t="s">
        <v>169</v>
      </c>
      <c r="H6" s="16" t="s">
        <v>99</v>
      </c>
      <c r="I6" s="17"/>
    </row>
    <row r="7" spans="1:9" ht="26.4" x14ac:dyDescent="0.3">
      <c r="A7" s="16" t="s">
        <v>170</v>
      </c>
      <c r="B7" s="16" t="s">
        <v>171</v>
      </c>
      <c r="C7" s="16" t="s">
        <v>103</v>
      </c>
      <c r="D7" s="16" t="s">
        <v>154</v>
      </c>
      <c r="E7" s="16" t="s">
        <v>172</v>
      </c>
      <c r="F7" s="16" t="s">
        <v>98</v>
      </c>
      <c r="G7" s="16" t="s">
        <v>173</v>
      </c>
      <c r="H7" s="16" t="s">
        <v>174</v>
      </c>
      <c r="I7" s="17"/>
    </row>
    <row r="8" spans="1:9" ht="26.4" x14ac:dyDescent="0.3">
      <c r="A8" s="16" t="s">
        <v>102</v>
      </c>
      <c r="B8" s="16" t="s">
        <v>175</v>
      </c>
      <c r="C8" s="16" t="s">
        <v>103</v>
      </c>
      <c r="D8" s="16" t="s">
        <v>154</v>
      </c>
      <c r="E8" s="16" t="s">
        <v>172</v>
      </c>
      <c r="F8" s="16" t="s">
        <v>98</v>
      </c>
      <c r="G8" s="16" t="s">
        <v>176</v>
      </c>
      <c r="H8" s="16" t="s">
        <v>174</v>
      </c>
      <c r="I8" s="17"/>
    </row>
    <row r="9" spans="1:9" ht="26.4" x14ac:dyDescent="0.3">
      <c r="A9" s="16" t="s">
        <v>177</v>
      </c>
      <c r="B9" s="16" t="s">
        <v>178</v>
      </c>
      <c r="C9" s="16" t="s">
        <v>103</v>
      </c>
      <c r="D9" s="16" t="s">
        <v>154</v>
      </c>
      <c r="E9" s="16" t="s">
        <v>172</v>
      </c>
      <c r="F9" s="16" t="s">
        <v>98</v>
      </c>
      <c r="G9" s="16" t="s">
        <v>179</v>
      </c>
      <c r="H9" s="16" t="s">
        <v>180</v>
      </c>
      <c r="I9" s="16"/>
    </row>
    <row r="10" spans="1:9" ht="26.4" x14ac:dyDescent="0.3">
      <c r="A10" s="16" t="s">
        <v>181</v>
      </c>
      <c r="B10" s="16" t="s">
        <v>182</v>
      </c>
      <c r="C10" s="16" t="s">
        <v>97</v>
      </c>
      <c r="D10" s="16" t="s">
        <v>93</v>
      </c>
      <c r="E10" s="16" t="s">
        <v>94</v>
      </c>
      <c r="F10" s="16" t="s">
        <v>98</v>
      </c>
      <c r="G10" s="16" t="s">
        <v>183</v>
      </c>
      <c r="H10" s="16" t="s">
        <v>99</v>
      </c>
      <c r="I10" s="16"/>
    </row>
    <row r="11" spans="1:9" ht="26.4" x14ac:dyDescent="0.3">
      <c r="A11" s="16" t="s">
        <v>184</v>
      </c>
      <c r="B11" s="16" t="s">
        <v>185</v>
      </c>
      <c r="C11" s="16" t="s">
        <v>92</v>
      </c>
      <c r="D11" s="16" t="s">
        <v>93</v>
      </c>
      <c r="E11" s="16" t="s">
        <v>94</v>
      </c>
      <c r="F11" s="16" t="s">
        <v>95</v>
      </c>
      <c r="G11" s="16" t="s">
        <v>186</v>
      </c>
      <c r="H11" s="16" t="s">
        <v>99</v>
      </c>
      <c r="I11" s="16"/>
    </row>
    <row r="12" spans="1:9" ht="26.4" x14ac:dyDescent="0.3">
      <c r="A12" s="16" t="s">
        <v>104</v>
      </c>
      <c r="B12" s="16" t="s">
        <v>187</v>
      </c>
      <c r="C12" s="16" t="s">
        <v>101</v>
      </c>
      <c r="D12" s="16" t="s">
        <v>154</v>
      </c>
      <c r="E12" s="16" t="s">
        <v>155</v>
      </c>
      <c r="F12" s="16" t="s">
        <v>98</v>
      </c>
      <c r="G12" s="16" t="s">
        <v>188</v>
      </c>
      <c r="H12" s="16" t="s">
        <v>96</v>
      </c>
      <c r="I12" s="16"/>
    </row>
    <row r="13" spans="1:9" x14ac:dyDescent="0.3">
      <c r="A13" s="16" t="s">
        <v>189</v>
      </c>
      <c r="B13" s="16" t="s">
        <v>190</v>
      </c>
      <c r="C13" s="16" t="s">
        <v>106</v>
      </c>
      <c r="D13" s="16" t="s">
        <v>107</v>
      </c>
      <c r="E13" s="16" t="s">
        <v>99</v>
      </c>
      <c r="F13" s="16" t="s">
        <v>98</v>
      </c>
      <c r="G13" s="16" t="s">
        <v>191</v>
      </c>
      <c r="H13" s="16" t="s">
        <v>99</v>
      </c>
      <c r="I13" s="16"/>
    </row>
    <row r="14" spans="1:9" ht="26.4" x14ac:dyDescent="0.3">
      <c r="A14" s="16" t="s">
        <v>192</v>
      </c>
      <c r="B14" s="16" t="s">
        <v>193</v>
      </c>
      <c r="C14" s="16" t="s">
        <v>92</v>
      </c>
      <c r="D14" s="16" t="s">
        <v>166</v>
      </c>
      <c r="E14" s="16" t="s">
        <v>155</v>
      </c>
      <c r="F14" s="16" t="s">
        <v>95</v>
      </c>
      <c r="G14" s="16" t="s">
        <v>191</v>
      </c>
      <c r="H14" s="16" t="s">
        <v>164</v>
      </c>
      <c r="I14" s="16"/>
    </row>
    <row r="15" spans="1:9" x14ac:dyDescent="0.3">
      <c r="A15" s="16"/>
      <c r="B15" s="16"/>
      <c r="C15" s="16"/>
      <c r="D15" s="16"/>
      <c r="E15" s="16"/>
      <c r="F15" s="16"/>
      <c r="G15" s="16"/>
      <c r="H15" s="16"/>
      <c r="I15" s="16"/>
    </row>
    <row r="16" spans="1:9" x14ac:dyDescent="0.3">
      <c r="A16" s="16"/>
      <c r="B16" s="16"/>
      <c r="C16" s="16"/>
      <c r="D16" s="16"/>
      <c r="E16" s="16"/>
      <c r="F16" s="16"/>
      <c r="G16" s="16"/>
      <c r="H16" s="16"/>
      <c r="I16" s="16"/>
    </row>
    <row r="17" spans="1:9" x14ac:dyDescent="0.3">
      <c r="A17" s="16"/>
      <c r="B17" s="16"/>
      <c r="C17" s="16"/>
      <c r="D17" s="16"/>
      <c r="E17" s="16"/>
      <c r="F17" s="16"/>
      <c r="G17" s="16"/>
      <c r="H17" s="16"/>
      <c r="I17" s="16"/>
    </row>
    <row r="18" spans="1:9" x14ac:dyDescent="0.3">
      <c r="A18" s="16"/>
      <c r="B18" s="16"/>
      <c r="C18" s="16"/>
      <c r="D18" s="16"/>
      <c r="E18" s="16"/>
      <c r="F18" s="16"/>
      <c r="G18" s="16"/>
      <c r="H18" s="16"/>
      <c r="I18" s="16"/>
    </row>
    <row r="19" spans="1:9" x14ac:dyDescent="0.3">
      <c r="A19" s="16"/>
      <c r="B19" s="16"/>
      <c r="C19" s="16"/>
      <c r="D19" s="16"/>
      <c r="E19" s="16"/>
      <c r="F19" s="16"/>
      <c r="G19" s="16"/>
      <c r="H19" s="16"/>
      <c r="I19" s="16"/>
    </row>
    <row r="20" spans="1:9" x14ac:dyDescent="0.3">
      <c r="A20" s="16"/>
      <c r="B20" s="16"/>
      <c r="C20" s="16"/>
      <c r="D20" s="16"/>
      <c r="E20" s="16"/>
      <c r="F20" s="16"/>
      <c r="G20" s="16"/>
      <c r="H20" s="16"/>
      <c r="I20" s="16"/>
    </row>
    <row r="21" spans="1:9" x14ac:dyDescent="0.3">
      <c r="A21" s="16"/>
      <c r="B21" s="16"/>
      <c r="C21" s="16"/>
      <c r="D21" s="16"/>
      <c r="E21" s="16"/>
      <c r="F21" s="16"/>
      <c r="G21" s="16"/>
      <c r="H21" s="16"/>
      <c r="I21" s="16"/>
    </row>
    <row r="22" spans="1:9" x14ac:dyDescent="0.3">
      <c r="A22" s="16"/>
      <c r="B22" s="16"/>
      <c r="C22" s="16"/>
      <c r="D22" s="16"/>
      <c r="E22" s="16"/>
      <c r="F22" s="16"/>
      <c r="G22" s="16"/>
      <c r="H22" s="16"/>
      <c r="I22" s="16"/>
    </row>
    <row r="23" spans="1:9" x14ac:dyDescent="0.3">
      <c r="A23" s="16"/>
      <c r="B23" s="16"/>
      <c r="C23" s="16"/>
      <c r="D23" s="16"/>
      <c r="E23" s="16"/>
      <c r="F23" s="16"/>
      <c r="G23" s="16"/>
      <c r="H23" s="16"/>
      <c r="I23" s="16"/>
    </row>
    <row r="24" spans="1:9" x14ac:dyDescent="0.3">
      <c r="A24" s="16"/>
      <c r="B24" s="16"/>
      <c r="C24" s="16"/>
      <c r="D24" s="16"/>
      <c r="E24" s="16"/>
      <c r="F24" s="16"/>
      <c r="G24" s="16"/>
      <c r="H24" s="16"/>
      <c r="I24" s="16"/>
    </row>
    <row r="25" spans="1:9" x14ac:dyDescent="0.3">
      <c r="A25" s="16"/>
      <c r="B25" s="16"/>
      <c r="C25" s="16"/>
      <c r="D25" s="16"/>
      <c r="E25" s="16"/>
      <c r="F25" s="16"/>
      <c r="G25" s="16"/>
      <c r="H25" s="16"/>
      <c r="I25" s="16"/>
    </row>
    <row r="26" spans="1:9" x14ac:dyDescent="0.3">
      <c r="A26" s="16"/>
      <c r="B26" s="16"/>
      <c r="C26" s="16"/>
      <c r="D26" s="16"/>
      <c r="E26" s="16"/>
      <c r="F26" s="16"/>
      <c r="G26" s="16"/>
      <c r="H26" s="16"/>
      <c r="I26" s="16"/>
    </row>
    <row r="27" spans="1:9" x14ac:dyDescent="0.3">
      <c r="A27" s="16"/>
      <c r="B27" s="16"/>
      <c r="C27" s="16"/>
      <c r="D27" s="16"/>
      <c r="E27" s="16"/>
      <c r="F27" s="16"/>
      <c r="G27" s="16"/>
      <c r="H27" s="16"/>
      <c r="I27" s="16"/>
    </row>
    <row r="28" spans="1:9" x14ac:dyDescent="0.3">
      <c r="A28" s="16"/>
      <c r="B28" s="16"/>
      <c r="C28" s="16"/>
      <c r="D28" s="16"/>
      <c r="E28" s="16"/>
      <c r="F28" s="16"/>
      <c r="G28" s="16"/>
      <c r="H28" s="16"/>
      <c r="I28" s="16"/>
    </row>
    <row r="29" spans="1:9" x14ac:dyDescent="0.3">
      <c r="A29" s="16"/>
      <c r="B29" s="16"/>
      <c r="C29" s="16"/>
      <c r="D29" s="16"/>
      <c r="E29" s="16"/>
      <c r="F29" s="16"/>
      <c r="G29" s="16"/>
      <c r="H29" s="16"/>
      <c r="I29" s="16"/>
    </row>
    <row r="30" spans="1:9" x14ac:dyDescent="0.3">
      <c r="A30" s="16"/>
      <c r="B30" s="16"/>
      <c r="C30" s="16"/>
      <c r="D30" s="16"/>
      <c r="E30" s="16"/>
      <c r="F30" s="16"/>
      <c r="G30" s="16"/>
      <c r="H30" s="16"/>
      <c r="I30" s="16"/>
    </row>
    <row r="31" spans="1:9" x14ac:dyDescent="0.3">
      <c r="A31" s="16"/>
      <c r="B31" s="16"/>
      <c r="C31" s="16"/>
      <c r="D31" s="16"/>
      <c r="E31" s="16"/>
      <c r="F31" s="16"/>
      <c r="G31" s="16"/>
      <c r="H31" s="16"/>
      <c r="I31" s="16"/>
    </row>
    <row r="32" spans="1:9" x14ac:dyDescent="0.3">
      <c r="A32" s="16"/>
      <c r="B32" s="16"/>
      <c r="C32" s="16"/>
      <c r="D32" s="16"/>
      <c r="E32" s="16"/>
      <c r="F32" s="16"/>
      <c r="G32" s="16"/>
      <c r="H32" s="16"/>
      <c r="I32" s="16"/>
    </row>
    <row r="33" spans="1:9" x14ac:dyDescent="0.3">
      <c r="A33" s="16"/>
      <c r="B33" s="16"/>
      <c r="C33" s="16"/>
      <c r="D33" s="16"/>
      <c r="E33" s="16"/>
      <c r="F33" s="16"/>
      <c r="G33" s="16"/>
      <c r="H33" s="16"/>
      <c r="I33" s="16"/>
    </row>
    <row r="34" spans="1:9" x14ac:dyDescent="0.3">
      <c r="A34" s="16"/>
      <c r="B34" s="16"/>
      <c r="C34" s="16"/>
      <c r="D34" s="16"/>
      <c r="E34" s="16"/>
      <c r="F34" s="16"/>
      <c r="G34" s="16"/>
      <c r="H34" s="16"/>
      <c r="I34" s="16"/>
    </row>
    <row r="35" spans="1:9" x14ac:dyDescent="0.3">
      <c r="A35" s="16"/>
      <c r="B35" s="16"/>
      <c r="C35" s="16"/>
      <c r="D35" s="16"/>
      <c r="E35" s="16"/>
      <c r="F35" s="16"/>
      <c r="G35" s="16"/>
      <c r="H35" s="16"/>
      <c r="I35" s="16"/>
    </row>
    <row r="36" spans="1:9" x14ac:dyDescent="0.3">
      <c r="A36" s="16"/>
      <c r="B36" s="16"/>
      <c r="C36" s="16"/>
      <c r="D36" s="16"/>
      <c r="E36" s="16"/>
      <c r="F36" s="16"/>
      <c r="G36" s="16"/>
      <c r="H36" s="16"/>
      <c r="I36" s="16"/>
    </row>
    <row r="37" spans="1:9" x14ac:dyDescent="0.3">
      <c r="A37" s="16"/>
      <c r="B37" s="16"/>
      <c r="C37" s="16"/>
      <c r="D37" s="16"/>
      <c r="E37" s="16"/>
      <c r="F37" s="16"/>
      <c r="G37" s="16"/>
      <c r="H37" s="16"/>
      <c r="I37" s="16"/>
    </row>
    <row r="38" spans="1:9" x14ac:dyDescent="0.3">
      <c r="A38" s="16"/>
      <c r="B38" s="16"/>
      <c r="C38" s="16"/>
      <c r="D38" s="16"/>
      <c r="E38" s="16"/>
      <c r="F38" s="16"/>
      <c r="G38" s="16"/>
      <c r="H38" s="16"/>
      <c r="I38" s="16"/>
    </row>
    <row r="39" spans="1:9" x14ac:dyDescent="0.3">
      <c r="A39" s="16"/>
      <c r="B39" s="16"/>
      <c r="C39" s="16"/>
      <c r="D39" s="16"/>
      <c r="E39" s="16"/>
      <c r="F39" s="16"/>
      <c r="G39" s="16"/>
      <c r="H39" s="16"/>
      <c r="I39" s="16"/>
    </row>
    <row r="40" spans="1:9" x14ac:dyDescent="0.3">
      <c r="A40" s="16"/>
      <c r="B40" s="16"/>
      <c r="C40" s="16"/>
      <c r="D40" s="16"/>
      <c r="E40" s="16"/>
      <c r="F40" s="16"/>
      <c r="G40" s="16"/>
      <c r="H40" s="16"/>
      <c r="I40" s="16"/>
    </row>
    <row r="41" spans="1:9" x14ac:dyDescent="0.3">
      <c r="A41" s="16"/>
      <c r="B41" s="16"/>
      <c r="C41" s="16"/>
      <c r="D41" s="16"/>
      <c r="E41" s="16"/>
      <c r="F41" s="16"/>
      <c r="G41" s="16"/>
      <c r="H41" s="16"/>
      <c r="I41" s="16"/>
    </row>
    <row r="42" spans="1:9" x14ac:dyDescent="0.3">
      <c r="A42" s="16"/>
      <c r="B42" s="16"/>
      <c r="C42" s="16"/>
      <c r="D42" s="16"/>
      <c r="E42" s="16"/>
      <c r="F42" s="16"/>
      <c r="G42" s="16"/>
      <c r="H42" s="16"/>
      <c r="I42" s="16"/>
    </row>
    <row r="43" spans="1:9" x14ac:dyDescent="0.3">
      <c r="A43" s="16"/>
      <c r="B43" s="16"/>
      <c r="C43" s="16"/>
      <c r="D43" s="16"/>
      <c r="E43" s="16"/>
      <c r="F43" s="16"/>
      <c r="G43" s="16"/>
      <c r="H43" s="16"/>
      <c r="I43" s="16"/>
    </row>
    <row r="44" spans="1:9" x14ac:dyDescent="0.3">
      <c r="A44" s="16"/>
      <c r="B44" s="16"/>
      <c r="C44" s="16"/>
      <c r="D44" s="16"/>
      <c r="E44" s="16"/>
      <c r="F44" s="16"/>
      <c r="G44" s="16"/>
      <c r="H44" s="16"/>
      <c r="I44" s="16"/>
    </row>
    <row r="45" spans="1:9" x14ac:dyDescent="0.3">
      <c r="A45" s="16"/>
      <c r="B45" s="16"/>
      <c r="C45" s="16"/>
      <c r="D45" s="16"/>
      <c r="E45" s="16"/>
      <c r="F45" s="16"/>
      <c r="G45" s="16"/>
      <c r="H45" s="16"/>
      <c r="I45" s="16"/>
    </row>
    <row r="46" spans="1:9" x14ac:dyDescent="0.3">
      <c r="A46" s="16"/>
      <c r="B46" s="16"/>
      <c r="C46" s="16"/>
      <c r="D46" s="16"/>
      <c r="E46" s="16"/>
      <c r="F46" s="16"/>
      <c r="G46" s="16"/>
      <c r="H46" s="16"/>
      <c r="I46" s="16"/>
    </row>
    <row r="47" spans="1:9" x14ac:dyDescent="0.3">
      <c r="A47" s="16"/>
      <c r="B47" s="16"/>
      <c r="C47" s="16"/>
      <c r="D47" s="16"/>
      <c r="E47" s="16"/>
      <c r="F47" s="16"/>
      <c r="G47" s="16"/>
      <c r="H47" s="16"/>
      <c r="I47" s="16"/>
    </row>
    <row r="48" spans="1:9" x14ac:dyDescent="0.3">
      <c r="A48" s="16"/>
      <c r="B48" s="16"/>
      <c r="C48" s="16"/>
      <c r="D48" s="16"/>
      <c r="E48" s="16"/>
      <c r="F48" s="16"/>
      <c r="G48" s="16"/>
      <c r="H48" s="16"/>
      <c r="I48" s="16"/>
    </row>
    <row r="49" spans="1:9" x14ac:dyDescent="0.3">
      <c r="A49" s="16"/>
      <c r="B49" s="16"/>
      <c r="C49" s="16"/>
      <c r="D49" s="16"/>
      <c r="E49" s="16"/>
      <c r="F49" s="16"/>
      <c r="G49" s="16"/>
      <c r="H49" s="16"/>
      <c r="I49" s="16"/>
    </row>
    <row r="50" spans="1:9" x14ac:dyDescent="0.3">
      <c r="A50" s="16"/>
      <c r="B50" s="16"/>
      <c r="C50" s="16"/>
      <c r="D50" s="16"/>
      <c r="E50" s="16"/>
      <c r="F50" s="16"/>
      <c r="G50" s="16"/>
      <c r="H50" s="16"/>
      <c r="I50" s="16"/>
    </row>
    <row r="51" spans="1:9" x14ac:dyDescent="0.3">
      <c r="A51" s="16"/>
      <c r="B51" s="16"/>
      <c r="C51" s="16"/>
      <c r="D51" s="16"/>
      <c r="E51" s="16"/>
      <c r="F51" s="16"/>
      <c r="G51" s="16"/>
      <c r="H51" s="16"/>
      <c r="I51" s="16"/>
    </row>
    <row r="52" spans="1:9" x14ac:dyDescent="0.3">
      <c r="A52" s="16"/>
      <c r="B52" s="16"/>
      <c r="C52" s="16"/>
      <c r="D52" s="16"/>
      <c r="E52" s="16"/>
      <c r="F52" s="16"/>
      <c r="G52" s="16"/>
      <c r="H52" s="16"/>
      <c r="I52" s="16"/>
    </row>
    <row r="53" spans="1:9" x14ac:dyDescent="0.3">
      <c r="A53" s="16"/>
      <c r="B53" s="16"/>
      <c r="C53" s="16"/>
      <c r="D53" s="16"/>
      <c r="E53" s="16"/>
      <c r="F53" s="16"/>
      <c r="G53" s="16"/>
      <c r="H53" s="16"/>
      <c r="I53" s="16"/>
    </row>
    <row r="54" spans="1:9" x14ac:dyDescent="0.3">
      <c r="A54" s="16"/>
      <c r="B54" s="16"/>
      <c r="C54" s="16"/>
      <c r="D54" s="16"/>
      <c r="E54" s="16"/>
      <c r="F54" s="16"/>
      <c r="G54" s="16"/>
      <c r="H54" s="16"/>
      <c r="I54" s="16"/>
    </row>
    <row r="55" spans="1:9" x14ac:dyDescent="0.3">
      <c r="A55" s="16"/>
      <c r="B55" s="16"/>
      <c r="C55" s="16"/>
      <c r="D55" s="16"/>
      <c r="E55" s="16"/>
      <c r="F55" s="16"/>
      <c r="G55" s="16"/>
      <c r="H55" s="16"/>
      <c r="I55" s="16"/>
    </row>
    <row r="56" spans="1:9" x14ac:dyDescent="0.3">
      <c r="A56" s="16"/>
      <c r="B56" s="16"/>
      <c r="C56" s="16"/>
      <c r="D56" s="16"/>
      <c r="E56" s="16"/>
      <c r="F56" s="16"/>
      <c r="G56" s="16"/>
      <c r="H56" s="16"/>
      <c r="I56" s="16"/>
    </row>
    <row r="57" spans="1:9" x14ac:dyDescent="0.3">
      <c r="A57" s="16"/>
      <c r="B57" s="16"/>
      <c r="C57" s="16"/>
      <c r="D57" s="16"/>
      <c r="E57" s="16"/>
      <c r="F57" s="16"/>
      <c r="G57" s="16"/>
      <c r="H57" s="16"/>
      <c r="I57" s="16"/>
    </row>
    <row r="58" spans="1:9" x14ac:dyDescent="0.3">
      <c r="A58" s="16"/>
      <c r="B58" s="16"/>
      <c r="C58" s="16"/>
      <c r="D58" s="16"/>
      <c r="E58" s="16"/>
      <c r="F58" s="16"/>
      <c r="G58" s="16"/>
      <c r="H58" s="16"/>
      <c r="I58" s="16"/>
    </row>
    <row r="59" spans="1:9" x14ac:dyDescent="0.3">
      <c r="A59" s="16"/>
      <c r="B59" s="16"/>
      <c r="C59" s="16"/>
      <c r="D59" s="16"/>
      <c r="E59" s="16"/>
      <c r="F59" s="16"/>
      <c r="G59" s="16"/>
      <c r="H59" s="16"/>
      <c r="I59" s="16"/>
    </row>
    <row r="60" spans="1:9" x14ac:dyDescent="0.3">
      <c r="A60" s="16"/>
      <c r="B60" s="16"/>
      <c r="C60" s="16"/>
      <c r="D60" s="16"/>
      <c r="E60" s="16"/>
      <c r="F60" s="16"/>
      <c r="G60" s="16"/>
      <c r="H60" s="16"/>
      <c r="I60" s="16"/>
    </row>
    <row r="61" spans="1:9" x14ac:dyDescent="0.3">
      <c r="A61" s="16"/>
      <c r="B61" s="16"/>
      <c r="C61" s="16"/>
      <c r="D61" s="16"/>
      <c r="E61" s="16"/>
      <c r="F61" s="16"/>
      <c r="G61" s="16"/>
      <c r="H61" s="16"/>
      <c r="I61" s="16"/>
    </row>
    <row r="62" spans="1:9" x14ac:dyDescent="0.3">
      <c r="A62" s="16"/>
      <c r="B62" s="16"/>
      <c r="C62" s="16"/>
      <c r="D62" s="16"/>
      <c r="E62" s="16"/>
      <c r="F62" s="16"/>
      <c r="G62" s="16"/>
      <c r="H62" s="16"/>
      <c r="I62" s="16"/>
    </row>
    <row r="63" spans="1:9" x14ac:dyDescent="0.3">
      <c r="A63" s="16"/>
      <c r="B63" s="16"/>
      <c r="C63" s="16"/>
      <c r="D63" s="16"/>
      <c r="E63" s="16"/>
      <c r="F63" s="16"/>
      <c r="G63" s="16"/>
      <c r="H63" s="16"/>
      <c r="I63" s="16"/>
    </row>
    <row r="64" spans="1:9" x14ac:dyDescent="0.3">
      <c r="A64" s="16"/>
      <c r="B64" s="16"/>
      <c r="C64" s="16"/>
      <c r="D64" s="16"/>
      <c r="E64" s="16"/>
      <c r="F64" s="16"/>
      <c r="G64" s="16"/>
      <c r="H64" s="16"/>
      <c r="I64" s="16"/>
    </row>
    <row r="65" spans="1:9" x14ac:dyDescent="0.3">
      <c r="A65" s="16"/>
      <c r="B65" s="16"/>
      <c r="C65" s="16"/>
      <c r="D65" s="16"/>
      <c r="E65" s="16"/>
      <c r="F65" s="16"/>
      <c r="G65" s="16"/>
      <c r="H65" s="16"/>
      <c r="I65" s="16"/>
    </row>
    <row r="66" spans="1:9" x14ac:dyDescent="0.3">
      <c r="A66" s="16"/>
      <c r="B66" s="16"/>
      <c r="C66" s="16"/>
      <c r="D66" s="16"/>
      <c r="E66" s="16"/>
      <c r="F66" s="16"/>
      <c r="G66" s="16"/>
      <c r="H66" s="16"/>
      <c r="I66" s="16"/>
    </row>
    <row r="67" spans="1:9" x14ac:dyDescent="0.3">
      <c r="A67" s="16"/>
      <c r="B67" s="16"/>
      <c r="C67" s="16"/>
      <c r="D67" s="16"/>
      <c r="E67" s="16"/>
      <c r="F67" s="16"/>
      <c r="G67" s="16"/>
      <c r="H67" s="16"/>
      <c r="I67" s="16"/>
    </row>
    <row r="68" spans="1:9" x14ac:dyDescent="0.3">
      <c r="A68" s="16"/>
      <c r="B68" s="16"/>
      <c r="C68" s="16"/>
      <c r="D68" s="16"/>
      <c r="E68" s="16"/>
      <c r="F68" s="16"/>
      <c r="G68" s="16"/>
      <c r="H68" s="16"/>
      <c r="I68" s="16"/>
    </row>
    <row r="69" spans="1:9" x14ac:dyDescent="0.3">
      <c r="A69" s="16"/>
      <c r="B69" s="16"/>
      <c r="C69" s="16"/>
      <c r="D69" s="16"/>
      <c r="E69" s="16"/>
      <c r="F69" s="16"/>
      <c r="G69" s="16"/>
      <c r="H69" s="16"/>
      <c r="I69" s="16"/>
    </row>
    <row r="70" spans="1:9" x14ac:dyDescent="0.3">
      <c r="A70" s="16"/>
      <c r="B70" s="16"/>
      <c r="C70" s="16"/>
      <c r="D70" s="16"/>
      <c r="E70" s="16"/>
      <c r="F70" s="16"/>
      <c r="G70" s="16"/>
      <c r="H70" s="16"/>
      <c r="I70" s="16"/>
    </row>
    <row r="71" spans="1:9" x14ac:dyDescent="0.3">
      <c r="A71" s="16"/>
      <c r="B71" s="16"/>
      <c r="C71" s="16"/>
      <c r="D71" s="16"/>
      <c r="E71" s="16"/>
      <c r="F71" s="16"/>
      <c r="G71" s="16"/>
      <c r="H71" s="16"/>
      <c r="I71" s="16"/>
    </row>
    <row r="72" spans="1:9" x14ac:dyDescent="0.3">
      <c r="A72" s="16"/>
      <c r="B72" s="16"/>
      <c r="C72" s="16"/>
      <c r="D72" s="16"/>
      <c r="E72" s="16"/>
      <c r="F72" s="16"/>
      <c r="G72" s="16"/>
      <c r="H72" s="16"/>
      <c r="I72" s="16"/>
    </row>
    <row r="73" spans="1:9" x14ac:dyDescent="0.3">
      <c r="A73" s="16"/>
      <c r="B73" s="16"/>
      <c r="C73" s="16"/>
      <c r="D73" s="16"/>
      <c r="E73" s="16"/>
      <c r="F73" s="16"/>
      <c r="G73" s="16"/>
      <c r="H73" s="16"/>
      <c r="I73" s="16"/>
    </row>
    <row r="74" spans="1:9" x14ac:dyDescent="0.3">
      <c r="A74" s="16"/>
      <c r="B74" s="16"/>
      <c r="C74" s="16"/>
      <c r="D74" s="16"/>
      <c r="E74" s="16"/>
      <c r="F74" s="16"/>
      <c r="G74" s="16"/>
      <c r="H74" s="16"/>
      <c r="I74" s="16"/>
    </row>
    <row r="75" spans="1:9" x14ac:dyDescent="0.3">
      <c r="A75" s="16"/>
      <c r="B75" s="16"/>
      <c r="C75" s="16"/>
      <c r="D75" s="16"/>
      <c r="E75" s="16"/>
      <c r="F75" s="16"/>
      <c r="G75" s="16"/>
      <c r="H75" s="16"/>
      <c r="I75" s="16"/>
    </row>
    <row r="76" spans="1:9" x14ac:dyDescent="0.3">
      <c r="A76" s="16"/>
      <c r="B76" s="16"/>
      <c r="C76" s="16"/>
      <c r="D76" s="16"/>
      <c r="E76" s="16"/>
      <c r="F76" s="16"/>
      <c r="G76" s="16"/>
      <c r="H76" s="16"/>
      <c r="I76" s="16"/>
    </row>
    <row r="77" spans="1:9" x14ac:dyDescent="0.3">
      <c r="A77" s="16"/>
      <c r="B77" s="16"/>
      <c r="C77" s="16"/>
      <c r="D77" s="16"/>
      <c r="E77" s="16"/>
      <c r="F77" s="16"/>
      <c r="G77" s="16"/>
      <c r="H77" s="16"/>
      <c r="I77" s="16"/>
    </row>
    <row r="78" spans="1:9" x14ac:dyDescent="0.3">
      <c r="A78" s="16"/>
      <c r="B78" s="16"/>
      <c r="C78" s="16"/>
      <c r="D78" s="16"/>
      <c r="E78" s="16"/>
      <c r="F78" s="16"/>
      <c r="G78" s="16"/>
      <c r="H78" s="16"/>
      <c r="I78" s="16"/>
    </row>
    <row r="79" spans="1:9" x14ac:dyDescent="0.3">
      <c r="A79" s="16"/>
      <c r="B79" s="16"/>
      <c r="C79" s="16"/>
      <c r="D79" s="16"/>
      <c r="E79" s="16"/>
      <c r="F79" s="16"/>
      <c r="G79" s="16"/>
      <c r="H79" s="16"/>
      <c r="I79" s="16"/>
    </row>
    <row r="80" spans="1:9" x14ac:dyDescent="0.3">
      <c r="A80" s="16"/>
      <c r="B80" s="16"/>
      <c r="C80" s="16"/>
      <c r="D80" s="16"/>
      <c r="E80" s="16"/>
      <c r="F80" s="16"/>
      <c r="G80" s="16"/>
      <c r="H80" s="16"/>
      <c r="I80" s="16"/>
    </row>
    <row r="81" spans="1:9" x14ac:dyDescent="0.3">
      <c r="A81" s="16"/>
      <c r="B81" s="16"/>
      <c r="C81" s="16"/>
      <c r="D81" s="16"/>
      <c r="E81" s="16"/>
      <c r="F81" s="16"/>
      <c r="G81" s="16"/>
      <c r="H81" s="16"/>
      <c r="I81" s="16"/>
    </row>
    <row r="82" spans="1:9" x14ac:dyDescent="0.3">
      <c r="A82" s="16"/>
      <c r="B82" s="16"/>
      <c r="C82" s="16"/>
      <c r="D82" s="16"/>
      <c r="E82" s="16"/>
      <c r="F82" s="16"/>
      <c r="G82" s="16"/>
      <c r="H82" s="16"/>
      <c r="I82" s="16"/>
    </row>
    <row r="83" spans="1:9" x14ac:dyDescent="0.3">
      <c r="A83" s="16"/>
      <c r="B83" s="16"/>
      <c r="C83" s="16"/>
      <c r="D83" s="16"/>
      <c r="E83" s="16"/>
      <c r="F83" s="16"/>
      <c r="G83" s="16"/>
      <c r="H83" s="16"/>
      <c r="I83" s="16"/>
    </row>
    <row r="84" spans="1:9" x14ac:dyDescent="0.3">
      <c r="A84" s="16"/>
      <c r="B84" s="16"/>
      <c r="C84" s="16"/>
      <c r="D84" s="16"/>
      <c r="E84" s="16"/>
      <c r="F84" s="16"/>
      <c r="G84" s="16"/>
      <c r="H84" s="16"/>
      <c r="I84" s="16"/>
    </row>
    <row r="85" spans="1:9" x14ac:dyDescent="0.3">
      <c r="A85" s="16"/>
      <c r="B85" s="16"/>
      <c r="C85" s="16"/>
      <c r="D85" s="16"/>
      <c r="E85" s="16"/>
      <c r="F85" s="16"/>
      <c r="G85" s="16"/>
      <c r="H85" s="16"/>
      <c r="I85" s="16"/>
    </row>
    <row r="86" spans="1:9" x14ac:dyDescent="0.3">
      <c r="A86" s="16"/>
      <c r="B86" s="16"/>
      <c r="C86" s="16"/>
      <c r="D86" s="16"/>
      <c r="E86" s="16"/>
      <c r="F86" s="16"/>
      <c r="G86" s="16"/>
      <c r="H86" s="16"/>
      <c r="I86" s="16"/>
    </row>
    <row r="87" spans="1:9" x14ac:dyDescent="0.3">
      <c r="A87" s="16"/>
      <c r="B87" s="16"/>
      <c r="C87" s="16"/>
      <c r="D87" s="16"/>
      <c r="E87" s="16"/>
      <c r="F87" s="16"/>
      <c r="G87" s="16"/>
      <c r="H87" s="16"/>
      <c r="I87" s="16"/>
    </row>
    <row r="88" spans="1:9" x14ac:dyDescent="0.3">
      <c r="A88" s="16"/>
      <c r="B88" s="16"/>
      <c r="C88" s="16"/>
      <c r="D88" s="16"/>
      <c r="E88" s="16"/>
      <c r="F88" s="16"/>
      <c r="G88" s="16"/>
      <c r="H88" s="16"/>
      <c r="I88" s="16"/>
    </row>
    <row r="89" spans="1:9" x14ac:dyDescent="0.3">
      <c r="A89" s="16"/>
      <c r="B89" s="16"/>
      <c r="C89" s="16"/>
      <c r="D89" s="16"/>
      <c r="E89" s="16"/>
      <c r="F89" s="16"/>
      <c r="G89" s="16"/>
      <c r="H89" s="16"/>
      <c r="I89" s="16"/>
    </row>
    <row r="90" spans="1:9" x14ac:dyDescent="0.3">
      <c r="A90" s="16"/>
      <c r="B90" s="16"/>
      <c r="C90" s="16"/>
      <c r="D90" s="16"/>
      <c r="E90" s="16"/>
      <c r="F90" s="16"/>
      <c r="G90" s="16"/>
      <c r="H90" s="16"/>
      <c r="I90" s="16"/>
    </row>
    <row r="91" spans="1:9" x14ac:dyDescent="0.3">
      <c r="A91" s="16"/>
      <c r="B91" s="16"/>
      <c r="C91" s="16"/>
      <c r="D91" s="16"/>
      <c r="E91" s="16"/>
      <c r="F91" s="16"/>
      <c r="G91" s="16"/>
      <c r="H91" s="16"/>
      <c r="I91" s="16"/>
    </row>
    <row r="92" spans="1:9" x14ac:dyDescent="0.3">
      <c r="A92" s="16"/>
      <c r="B92" s="16"/>
      <c r="C92" s="16"/>
      <c r="D92" s="16"/>
      <c r="E92" s="16"/>
      <c r="F92" s="16"/>
      <c r="G92" s="16"/>
      <c r="H92" s="16"/>
      <c r="I92" s="16"/>
    </row>
    <row r="93" spans="1:9" x14ac:dyDescent="0.3">
      <c r="A93" s="16"/>
      <c r="B93" s="16"/>
      <c r="C93" s="16"/>
      <c r="D93" s="16"/>
      <c r="E93" s="16"/>
      <c r="F93" s="16"/>
      <c r="G93" s="16"/>
      <c r="H93" s="16"/>
      <c r="I93" s="16"/>
    </row>
    <row r="94" spans="1:9" x14ac:dyDescent="0.3">
      <c r="A94" s="16"/>
      <c r="B94" s="16"/>
      <c r="C94" s="16"/>
      <c r="D94" s="16"/>
      <c r="E94" s="16"/>
      <c r="F94" s="16"/>
      <c r="G94" s="16"/>
      <c r="H94" s="16"/>
      <c r="I94" s="16"/>
    </row>
    <row r="95" spans="1:9" x14ac:dyDescent="0.3">
      <c r="A95" s="16"/>
      <c r="B95" s="16"/>
      <c r="C95" s="16"/>
      <c r="D95" s="16"/>
      <c r="E95" s="16"/>
      <c r="F95" s="16"/>
      <c r="G95" s="16"/>
      <c r="H95" s="16"/>
      <c r="I95" s="16"/>
    </row>
    <row r="96" spans="1:9" x14ac:dyDescent="0.3">
      <c r="A96" s="16"/>
      <c r="B96" s="16"/>
      <c r="C96" s="16"/>
      <c r="D96" s="16"/>
      <c r="E96" s="16"/>
      <c r="F96" s="16"/>
      <c r="G96" s="16"/>
      <c r="H96" s="16"/>
      <c r="I96" s="16"/>
    </row>
    <row r="97" spans="1:9" x14ac:dyDescent="0.3">
      <c r="A97" s="16"/>
      <c r="B97" s="16"/>
      <c r="C97" s="16"/>
      <c r="D97" s="16"/>
      <c r="E97" s="16"/>
      <c r="F97" s="16"/>
      <c r="G97" s="16"/>
      <c r="H97" s="16"/>
      <c r="I97" s="16"/>
    </row>
    <row r="98" spans="1:9" x14ac:dyDescent="0.3">
      <c r="A98" s="16"/>
      <c r="B98" s="16"/>
      <c r="C98" s="16"/>
      <c r="D98" s="16"/>
      <c r="E98" s="16"/>
      <c r="F98" s="16"/>
      <c r="G98" s="16"/>
      <c r="H98" s="16"/>
      <c r="I98" s="16"/>
    </row>
    <row r="99" spans="1:9" x14ac:dyDescent="0.3">
      <c r="A99" s="16"/>
      <c r="B99" s="16"/>
      <c r="C99" s="16"/>
      <c r="D99" s="16"/>
      <c r="E99" s="16"/>
      <c r="F99" s="16"/>
      <c r="G99" s="16"/>
      <c r="H99" s="16"/>
      <c r="I99" s="16"/>
    </row>
    <row r="100" spans="1:9" x14ac:dyDescent="0.3">
      <c r="A100" s="16"/>
      <c r="B100" s="16"/>
      <c r="C100" s="16"/>
      <c r="D100" s="16"/>
      <c r="E100" s="16"/>
      <c r="F100" s="16"/>
      <c r="G100" s="16"/>
      <c r="H100" s="16"/>
      <c r="I100" s="16"/>
    </row>
    <row r="101" spans="1:9" x14ac:dyDescent="0.3">
      <c r="A101" s="16"/>
      <c r="B101" s="16"/>
      <c r="C101" s="16"/>
      <c r="D101" s="16"/>
      <c r="E101" s="16"/>
      <c r="F101" s="16"/>
      <c r="G101" s="16"/>
      <c r="H101" s="16"/>
      <c r="I101" s="16"/>
    </row>
    <row r="102" spans="1:9" x14ac:dyDescent="0.3">
      <c r="A102" s="16"/>
      <c r="B102" s="16"/>
      <c r="C102" s="16"/>
      <c r="D102" s="16"/>
      <c r="E102" s="16"/>
      <c r="F102" s="16"/>
      <c r="G102" s="16"/>
      <c r="H102" s="16"/>
      <c r="I102" s="16"/>
    </row>
    <row r="103" spans="1:9" x14ac:dyDescent="0.3">
      <c r="A103" s="16"/>
      <c r="B103" s="16"/>
      <c r="C103" s="16"/>
      <c r="D103" s="16"/>
      <c r="E103" s="16"/>
      <c r="F103" s="16"/>
      <c r="G103" s="16"/>
      <c r="H103" s="16"/>
      <c r="I103" s="16"/>
    </row>
    <row r="104" spans="1:9" x14ac:dyDescent="0.3">
      <c r="A104" s="16"/>
      <c r="B104" s="16"/>
      <c r="C104" s="16"/>
      <c r="D104" s="16"/>
      <c r="E104" s="16"/>
      <c r="F104" s="16"/>
      <c r="G104" s="16"/>
      <c r="H104" s="16"/>
      <c r="I104" s="16"/>
    </row>
    <row r="105" spans="1:9" x14ac:dyDescent="0.3">
      <c r="A105" s="16"/>
      <c r="B105" s="16"/>
      <c r="C105" s="16"/>
      <c r="D105" s="16"/>
      <c r="E105" s="16"/>
      <c r="F105" s="16"/>
      <c r="G105" s="16"/>
      <c r="H105" s="16"/>
      <c r="I105" s="16"/>
    </row>
    <row r="106" spans="1:9" x14ac:dyDescent="0.3">
      <c r="A106" s="16"/>
      <c r="B106" s="16"/>
      <c r="C106" s="16"/>
      <c r="D106" s="16"/>
      <c r="E106" s="16"/>
      <c r="F106" s="16"/>
      <c r="G106" s="16"/>
      <c r="H106" s="16"/>
      <c r="I106" s="16"/>
    </row>
    <row r="107" spans="1:9" x14ac:dyDescent="0.3">
      <c r="A107" s="16"/>
      <c r="B107" s="16"/>
      <c r="C107" s="16"/>
      <c r="D107" s="16"/>
      <c r="E107" s="16"/>
      <c r="F107" s="16"/>
      <c r="G107" s="16"/>
      <c r="H107" s="16"/>
      <c r="I107" s="16"/>
    </row>
    <row r="108" spans="1:9" x14ac:dyDescent="0.3">
      <c r="A108" s="16"/>
      <c r="B108" s="16"/>
      <c r="C108" s="16"/>
      <c r="D108" s="16"/>
      <c r="E108" s="16"/>
      <c r="F108" s="16"/>
      <c r="G108" s="16"/>
      <c r="H108" s="16"/>
      <c r="I108" s="16"/>
    </row>
    <row r="109" spans="1:9" x14ac:dyDescent="0.3">
      <c r="A109" s="16"/>
      <c r="B109" s="16"/>
      <c r="C109" s="16"/>
      <c r="D109" s="16"/>
      <c r="E109" s="16"/>
      <c r="F109" s="16"/>
      <c r="G109" s="16"/>
      <c r="H109" s="16"/>
      <c r="I109" s="16"/>
    </row>
    <row r="110" spans="1:9" x14ac:dyDescent="0.3">
      <c r="A110" s="16"/>
      <c r="B110" s="16"/>
      <c r="C110" s="16"/>
      <c r="D110" s="16"/>
      <c r="E110" s="16"/>
      <c r="F110" s="16"/>
      <c r="G110" s="16"/>
      <c r="H110" s="16"/>
      <c r="I110" s="16"/>
    </row>
    <row r="111" spans="1:9" x14ac:dyDescent="0.3">
      <c r="A111" s="16"/>
      <c r="B111" s="16"/>
      <c r="C111" s="16"/>
      <c r="D111" s="16"/>
      <c r="E111" s="16"/>
      <c r="F111" s="16"/>
      <c r="G111" s="16"/>
      <c r="H111" s="16"/>
      <c r="I111" s="16"/>
    </row>
    <row r="112" spans="1:9" x14ac:dyDescent="0.3">
      <c r="A112" s="16"/>
      <c r="B112" s="16"/>
      <c r="C112" s="16"/>
      <c r="D112" s="16"/>
      <c r="E112" s="16"/>
      <c r="F112" s="16"/>
      <c r="G112" s="16"/>
      <c r="H112" s="16"/>
      <c r="I112" s="16"/>
    </row>
    <row r="113" spans="1:9" x14ac:dyDescent="0.3">
      <c r="A113" s="16"/>
      <c r="B113" s="16"/>
      <c r="C113" s="16"/>
      <c r="D113" s="16"/>
      <c r="E113" s="16"/>
      <c r="F113" s="16"/>
      <c r="G113" s="16"/>
      <c r="H113" s="16"/>
      <c r="I113" s="16"/>
    </row>
    <row r="114" spans="1:9" x14ac:dyDescent="0.3">
      <c r="A114" s="16"/>
      <c r="B114" s="16"/>
      <c r="C114" s="16"/>
      <c r="D114" s="16"/>
      <c r="E114" s="16"/>
      <c r="F114" s="16"/>
      <c r="G114" s="16"/>
      <c r="H114" s="16"/>
      <c r="I114" s="16"/>
    </row>
    <row r="115" spans="1:9" x14ac:dyDescent="0.3">
      <c r="A115" s="16"/>
      <c r="B115" s="16"/>
      <c r="C115" s="16"/>
      <c r="D115" s="16"/>
      <c r="E115" s="16"/>
      <c r="F115" s="16"/>
      <c r="G115" s="16"/>
      <c r="H115" s="16"/>
      <c r="I115" s="16"/>
    </row>
    <row r="116" spans="1:9" x14ac:dyDescent="0.3">
      <c r="A116" s="16"/>
      <c r="B116" s="16"/>
      <c r="C116" s="16"/>
      <c r="D116" s="16"/>
      <c r="E116" s="16"/>
      <c r="F116" s="16"/>
      <c r="G116" s="16"/>
      <c r="H116" s="16"/>
      <c r="I116" s="16"/>
    </row>
    <row r="117" spans="1:9" x14ac:dyDescent="0.3">
      <c r="A117" s="16"/>
      <c r="B117" s="16"/>
      <c r="C117" s="16"/>
      <c r="D117" s="16"/>
      <c r="E117" s="16"/>
      <c r="F117" s="16"/>
      <c r="G117" s="16"/>
      <c r="H117" s="16"/>
      <c r="I117" s="16"/>
    </row>
    <row r="118" spans="1:9" x14ac:dyDescent="0.3">
      <c r="A118" s="16"/>
      <c r="B118" s="16"/>
      <c r="C118" s="16"/>
      <c r="D118" s="16"/>
      <c r="E118" s="16"/>
      <c r="F118" s="16"/>
      <c r="G118" s="16"/>
      <c r="H118" s="16"/>
      <c r="I118" s="16"/>
    </row>
    <row r="119" spans="1:9" x14ac:dyDescent="0.3">
      <c r="A119" s="16"/>
      <c r="B119" s="16"/>
      <c r="C119" s="16"/>
      <c r="D119" s="16"/>
      <c r="E119" s="16"/>
      <c r="F119" s="16"/>
      <c r="G119" s="16"/>
      <c r="H119" s="16"/>
      <c r="I119" s="16"/>
    </row>
    <row r="120" spans="1:9" x14ac:dyDescent="0.3">
      <c r="A120" s="16"/>
      <c r="B120" s="16"/>
      <c r="C120" s="16"/>
      <c r="D120" s="16"/>
      <c r="E120" s="16"/>
      <c r="F120" s="16"/>
      <c r="G120" s="16"/>
      <c r="H120" s="16"/>
      <c r="I120" s="16"/>
    </row>
    <row r="121" spans="1:9" x14ac:dyDescent="0.3">
      <c r="A121" s="16"/>
      <c r="B121" s="16"/>
      <c r="C121" s="16"/>
      <c r="D121" s="16"/>
      <c r="E121" s="16"/>
      <c r="F121" s="16"/>
      <c r="G121" s="16"/>
      <c r="H121" s="16"/>
      <c r="I121" s="16"/>
    </row>
    <row r="122" spans="1:9" x14ac:dyDescent="0.3">
      <c r="A122" s="16"/>
      <c r="B122" s="16"/>
      <c r="C122" s="16"/>
      <c r="D122" s="16"/>
      <c r="E122" s="16"/>
      <c r="F122" s="16"/>
      <c r="G122" s="16"/>
      <c r="H122" s="16"/>
      <c r="I122" s="16"/>
    </row>
    <row r="123" spans="1:9" x14ac:dyDescent="0.3">
      <c r="A123" s="16"/>
      <c r="B123" s="16"/>
      <c r="C123" s="16"/>
      <c r="D123" s="16"/>
      <c r="E123" s="16"/>
      <c r="F123" s="16"/>
      <c r="G123" s="16"/>
      <c r="H123" s="16"/>
      <c r="I123" s="16"/>
    </row>
    <row r="124" spans="1:9" x14ac:dyDescent="0.3">
      <c r="A124" s="16"/>
      <c r="B124" s="16"/>
      <c r="C124" s="16"/>
      <c r="D124" s="16"/>
      <c r="E124" s="16"/>
      <c r="F124" s="16"/>
      <c r="G124" s="16"/>
      <c r="H124" s="16"/>
      <c r="I124" s="16"/>
    </row>
    <row r="125" spans="1:9" x14ac:dyDescent="0.3">
      <c r="A125" s="16"/>
      <c r="B125" s="16"/>
      <c r="C125" s="16"/>
      <c r="D125" s="16"/>
      <c r="E125" s="16"/>
      <c r="F125" s="16"/>
      <c r="G125" s="16"/>
      <c r="H125" s="16"/>
      <c r="I125" s="16"/>
    </row>
    <row r="126" spans="1:9" x14ac:dyDescent="0.3">
      <c r="A126" s="16"/>
      <c r="B126" s="16"/>
      <c r="C126" s="16"/>
      <c r="D126" s="16"/>
      <c r="E126" s="16"/>
      <c r="F126" s="16"/>
      <c r="G126" s="16"/>
      <c r="H126" s="16"/>
      <c r="I126" s="16"/>
    </row>
    <row r="127" spans="1:9" x14ac:dyDescent="0.3">
      <c r="A127" s="16"/>
      <c r="B127" s="16"/>
      <c r="C127" s="16"/>
      <c r="D127" s="16"/>
      <c r="E127" s="16"/>
      <c r="F127" s="16"/>
      <c r="G127" s="16"/>
      <c r="H127" s="16"/>
      <c r="I127" s="16"/>
    </row>
    <row r="128" spans="1:9" x14ac:dyDescent="0.3">
      <c r="A128" s="16"/>
      <c r="B128" s="16"/>
      <c r="C128" s="16"/>
      <c r="D128" s="16"/>
      <c r="E128" s="16"/>
      <c r="F128" s="16"/>
      <c r="G128" s="16"/>
      <c r="H128" s="16"/>
      <c r="I128" s="16"/>
    </row>
    <row r="129" spans="1:9" x14ac:dyDescent="0.3">
      <c r="A129" s="16"/>
      <c r="B129" s="16"/>
      <c r="C129" s="16"/>
      <c r="D129" s="16"/>
      <c r="E129" s="16"/>
      <c r="F129" s="16"/>
      <c r="G129" s="16"/>
      <c r="H129" s="16"/>
      <c r="I129" s="16"/>
    </row>
    <row r="130" spans="1:9" x14ac:dyDescent="0.3">
      <c r="A130" s="16"/>
      <c r="B130" s="16"/>
      <c r="C130" s="16"/>
      <c r="D130" s="16"/>
      <c r="E130" s="16"/>
      <c r="F130" s="16"/>
      <c r="G130" s="16"/>
      <c r="H130" s="16"/>
      <c r="I130" s="16"/>
    </row>
    <row r="131" spans="1:9" x14ac:dyDescent="0.3">
      <c r="A131" s="16"/>
      <c r="B131" s="16"/>
      <c r="C131" s="16"/>
      <c r="D131" s="16"/>
      <c r="E131" s="16"/>
      <c r="F131" s="16"/>
      <c r="G131" s="16"/>
      <c r="H131" s="16"/>
      <c r="I131" s="16"/>
    </row>
    <row r="132" spans="1:9" x14ac:dyDescent="0.3">
      <c r="A132" s="16"/>
      <c r="B132" s="16"/>
      <c r="C132" s="16"/>
      <c r="D132" s="16"/>
      <c r="E132" s="16"/>
      <c r="F132" s="16"/>
      <c r="G132" s="16"/>
      <c r="H132" s="16"/>
      <c r="I132" s="16"/>
    </row>
    <row r="133" spans="1:9" x14ac:dyDescent="0.3">
      <c r="A133" s="16"/>
      <c r="B133" s="16"/>
      <c r="C133" s="16"/>
      <c r="D133" s="16"/>
      <c r="E133" s="16"/>
      <c r="F133" s="16"/>
      <c r="G133" s="16"/>
      <c r="H133" s="16"/>
      <c r="I133" s="16"/>
    </row>
    <row r="134" spans="1:9" x14ac:dyDescent="0.3">
      <c r="A134" s="16"/>
      <c r="B134" s="16"/>
      <c r="C134" s="16"/>
      <c r="D134" s="16"/>
      <c r="E134" s="16"/>
      <c r="F134" s="16"/>
      <c r="G134" s="16"/>
      <c r="H134" s="16"/>
      <c r="I134" s="16"/>
    </row>
    <row r="135" spans="1:9" x14ac:dyDescent="0.3">
      <c r="A135" s="16"/>
      <c r="B135" s="16"/>
      <c r="C135" s="16"/>
      <c r="D135" s="16"/>
      <c r="E135" s="16"/>
      <c r="F135" s="16"/>
      <c r="G135" s="16"/>
      <c r="H135" s="16"/>
      <c r="I135" s="16"/>
    </row>
    <row r="136" spans="1:9" x14ac:dyDescent="0.3">
      <c r="A136" s="16"/>
      <c r="B136" s="16"/>
      <c r="C136" s="16"/>
      <c r="D136" s="16"/>
      <c r="E136" s="16"/>
      <c r="F136" s="16"/>
      <c r="G136" s="16"/>
      <c r="H136" s="16"/>
      <c r="I136" s="16"/>
    </row>
    <row r="137" spans="1:9" x14ac:dyDescent="0.3">
      <c r="A137" s="16"/>
      <c r="B137" s="16"/>
      <c r="C137" s="16"/>
      <c r="D137" s="16"/>
      <c r="E137" s="16"/>
      <c r="F137" s="16"/>
      <c r="G137" s="16"/>
      <c r="H137" s="16"/>
      <c r="I137" s="16"/>
    </row>
    <row r="138" spans="1:9" x14ac:dyDescent="0.3">
      <c r="A138" s="16"/>
      <c r="B138" s="16"/>
      <c r="C138" s="16"/>
      <c r="D138" s="16"/>
      <c r="E138" s="16"/>
      <c r="F138" s="16"/>
      <c r="G138" s="16"/>
      <c r="H138" s="16"/>
      <c r="I138" s="16"/>
    </row>
    <row r="139" spans="1:9" x14ac:dyDescent="0.3">
      <c r="A139" s="16"/>
      <c r="B139" s="16"/>
      <c r="C139" s="16"/>
      <c r="D139" s="16"/>
      <c r="E139" s="16"/>
      <c r="F139" s="16"/>
      <c r="G139" s="16"/>
      <c r="H139" s="16"/>
      <c r="I139" s="16"/>
    </row>
    <row r="140" spans="1:9" x14ac:dyDescent="0.3">
      <c r="A140" s="16"/>
      <c r="B140" s="16"/>
      <c r="C140" s="16"/>
      <c r="D140" s="16"/>
      <c r="E140" s="16"/>
      <c r="F140" s="16"/>
      <c r="G140" s="16"/>
      <c r="H140" s="16"/>
      <c r="I140" s="16"/>
    </row>
    <row r="141" spans="1:9" x14ac:dyDescent="0.3">
      <c r="A141" s="16"/>
      <c r="B141" s="16"/>
      <c r="C141" s="16"/>
      <c r="D141" s="16"/>
      <c r="E141" s="16"/>
      <c r="F141" s="16"/>
      <c r="G141" s="16"/>
      <c r="H141" s="16"/>
      <c r="I141" s="16"/>
    </row>
    <row r="142" spans="1:9" x14ac:dyDescent="0.3">
      <c r="A142" s="16"/>
      <c r="B142" s="16"/>
      <c r="C142" s="16"/>
      <c r="D142" s="16"/>
      <c r="E142" s="16"/>
      <c r="F142" s="16"/>
      <c r="G142" s="16"/>
      <c r="H142" s="16"/>
      <c r="I142" s="16"/>
    </row>
    <row r="143" spans="1:9" x14ac:dyDescent="0.3">
      <c r="A143" s="16"/>
      <c r="B143" s="16"/>
      <c r="C143" s="16"/>
      <c r="D143" s="16"/>
      <c r="E143" s="16"/>
      <c r="F143" s="16"/>
      <c r="G143" s="16"/>
      <c r="H143" s="16"/>
      <c r="I143" s="16"/>
    </row>
    <row r="144" spans="1:9" x14ac:dyDescent="0.3">
      <c r="A144" s="16"/>
      <c r="B144" s="16"/>
      <c r="C144" s="16"/>
      <c r="D144" s="16"/>
      <c r="E144" s="16"/>
      <c r="F144" s="16"/>
      <c r="G144" s="16"/>
      <c r="H144" s="16"/>
      <c r="I144" s="16"/>
    </row>
    <row r="145" spans="1:9" x14ac:dyDescent="0.3">
      <c r="A145" s="16"/>
      <c r="B145" s="16"/>
      <c r="C145" s="16"/>
      <c r="D145" s="16"/>
      <c r="E145" s="16"/>
      <c r="F145" s="16"/>
      <c r="G145" s="16"/>
      <c r="H145" s="16"/>
      <c r="I145" s="16"/>
    </row>
    <row r="146" spans="1:9" x14ac:dyDescent="0.3">
      <c r="A146" s="16"/>
      <c r="B146" s="16"/>
      <c r="C146" s="16"/>
      <c r="D146" s="16"/>
      <c r="E146" s="16"/>
      <c r="F146" s="16"/>
      <c r="G146" s="16"/>
      <c r="H146" s="16"/>
      <c r="I146" s="16"/>
    </row>
    <row r="147" spans="1:9" x14ac:dyDescent="0.3">
      <c r="A147" s="16"/>
      <c r="B147" s="16"/>
      <c r="C147" s="16"/>
      <c r="D147" s="16"/>
      <c r="E147" s="16"/>
      <c r="F147" s="16"/>
      <c r="G147" s="16"/>
      <c r="H147" s="16"/>
      <c r="I147" s="16"/>
    </row>
    <row r="148" spans="1:9" x14ac:dyDescent="0.3">
      <c r="A148" s="16"/>
      <c r="B148" s="16"/>
      <c r="C148" s="16"/>
      <c r="D148" s="16"/>
      <c r="E148" s="16"/>
      <c r="F148" s="16"/>
      <c r="G148" s="16"/>
      <c r="H148" s="16"/>
      <c r="I148" s="16"/>
    </row>
    <row r="149" spans="1:9" x14ac:dyDescent="0.3">
      <c r="A149" s="16"/>
      <c r="B149" s="16"/>
      <c r="C149" s="16"/>
      <c r="D149" s="16"/>
      <c r="E149" s="16"/>
      <c r="F149" s="16"/>
      <c r="G149" s="16"/>
      <c r="H149" s="16"/>
      <c r="I149" s="16"/>
    </row>
    <row r="150" spans="1:9" x14ac:dyDescent="0.3">
      <c r="A150" s="16"/>
      <c r="B150" s="16"/>
      <c r="C150" s="16"/>
      <c r="D150" s="16"/>
      <c r="E150" s="16"/>
      <c r="F150" s="16"/>
      <c r="G150" s="16"/>
      <c r="H150" s="16"/>
      <c r="I150" s="16"/>
    </row>
    <row r="151" spans="1:9" x14ac:dyDescent="0.3">
      <c r="A151" s="16"/>
      <c r="B151" s="16"/>
      <c r="C151" s="16"/>
      <c r="D151" s="16"/>
      <c r="E151" s="16"/>
      <c r="F151" s="16"/>
      <c r="G151" s="16"/>
      <c r="H151" s="16"/>
      <c r="I151" s="16"/>
    </row>
    <row r="152" spans="1:9" x14ac:dyDescent="0.3">
      <c r="A152" s="16"/>
      <c r="B152" s="16"/>
      <c r="C152" s="16"/>
      <c r="D152" s="16"/>
      <c r="E152" s="16"/>
      <c r="F152" s="16"/>
      <c r="G152" s="16"/>
      <c r="H152" s="16"/>
      <c r="I152" s="16"/>
    </row>
    <row r="153" spans="1:9" x14ac:dyDescent="0.3">
      <c r="A153" s="16"/>
      <c r="B153" s="16"/>
      <c r="C153" s="16"/>
      <c r="D153" s="16"/>
      <c r="E153" s="16"/>
      <c r="F153" s="16"/>
      <c r="G153" s="16"/>
      <c r="H153" s="16"/>
      <c r="I153" s="16"/>
    </row>
    <row r="154" spans="1:9" x14ac:dyDescent="0.3">
      <c r="A154" s="16"/>
      <c r="B154" s="16"/>
      <c r="C154" s="16"/>
      <c r="D154" s="16"/>
      <c r="E154" s="16"/>
      <c r="F154" s="16"/>
      <c r="G154" s="16"/>
      <c r="H154" s="16"/>
      <c r="I154" s="16"/>
    </row>
    <row r="155" spans="1:9" x14ac:dyDescent="0.3">
      <c r="A155" s="16"/>
      <c r="B155" s="16"/>
      <c r="C155" s="16"/>
      <c r="D155" s="16"/>
      <c r="E155" s="16"/>
      <c r="F155" s="16"/>
      <c r="G155" s="16"/>
      <c r="H155" s="16"/>
      <c r="I155" s="16"/>
    </row>
    <row r="156" spans="1:9" x14ac:dyDescent="0.3">
      <c r="A156" s="16"/>
      <c r="B156" s="16"/>
      <c r="C156" s="16"/>
      <c r="D156" s="16"/>
      <c r="E156" s="16"/>
      <c r="F156" s="16"/>
      <c r="G156" s="16"/>
      <c r="H156" s="16"/>
      <c r="I156" s="16"/>
    </row>
    <row r="157" spans="1:9" x14ac:dyDescent="0.3">
      <c r="A157" s="16"/>
      <c r="B157" s="16"/>
      <c r="C157" s="16"/>
      <c r="D157" s="16"/>
      <c r="E157" s="16"/>
      <c r="F157" s="16"/>
      <c r="G157" s="16"/>
      <c r="H157" s="16"/>
      <c r="I157" s="16"/>
    </row>
    <row r="158" spans="1:9" x14ac:dyDescent="0.3">
      <c r="A158" s="16"/>
      <c r="B158" s="16"/>
      <c r="C158" s="16"/>
      <c r="D158" s="16"/>
      <c r="E158" s="16"/>
      <c r="F158" s="16"/>
      <c r="G158" s="16"/>
      <c r="H158" s="16"/>
      <c r="I158" s="16"/>
    </row>
    <row r="159" spans="1:9" x14ac:dyDescent="0.3">
      <c r="A159" s="16"/>
      <c r="B159" s="16"/>
      <c r="C159" s="16"/>
      <c r="D159" s="16"/>
      <c r="E159" s="16"/>
      <c r="F159" s="16"/>
      <c r="G159" s="16"/>
      <c r="H159" s="16"/>
      <c r="I159" s="16"/>
    </row>
    <row r="160" spans="1:9" x14ac:dyDescent="0.3">
      <c r="A160" s="16"/>
      <c r="B160" s="16"/>
      <c r="C160" s="16"/>
      <c r="D160" s="16"/>
      <c r="E160" s="16"/>
      <c r="F160" s="16"/>
      <c r="G160" s="16"/>
      <c r="H160" s="16"/>
      <c r="I160" s="16"/>
    </row>
    <row r="161" spans="1:9" x14ac:dyDescent="0.3">
      <c r="A161" s="16"/>
      <c r="B161" s="16"/>
      <c r="C161" s="16"/>
      <c r="D161" s="16"/>
      <c r="E161" s="16"/>
      <c r="F161" s="16"/>
      <c r="G161" s="16"/>
      <c r="H161" s="16"/>
      <c r="I161" s="16"/>
    </row>
    <row r="162" spans="1:9" x14ac:dyDescent="0.3">
      <c r="A162" s="16"/>
      <c r="B162" s="16"/>
      <c r="C162" s="16"/>
      <c r="D162" s="16"/>
      <c r="E162" s="16"/>
      <c r="F162" s="16"/>
      <c r="G162" s="16"/>
      <c r="H162" s="16"/>
      <c r="I162" s="16"/>
    </row>
    <row r="163" spans="1:9" x14ac:dyDescent="0.3">
      <c r="A163" s="16"/>
      <c r="B163" s="16"/>
      <c r="C163" s="16"/>
      <c r="D163" s="16"/>
      <c r="E163" s="16"/>
      <c r="F163" s="16"/>
      <c r="G163" s="16"/>
      <c r="H163" s="16"/>
      <c r="I163" s="16"/>
    </row>
    <row r="164" spans="1:9" x14ac:dyDescent="0.3">
      <c r="A164" s="16"/>
      <c r="B164" s="16"/>
      <c r="C164" s="16"/>
      <c r="D164" s="16"/>
      <c r="E164" s="16"/>
      <c r="F164" s="16"/>
      <c r="G164" s="16"/>
      <c r="H164" s="16"/>
      <c r="I164" s="16"/>
    </row>
    <row r="165" spans="1:9" x14ac:dyDescent="0.3">
      <c r="A165" s="16"/>
      <c r="B165" s="16"/>
      <c r="C165" s="16"/>
      <c r="D165" s="16"/>
      <c r="E165" s="16"/>
      <c r="F165" s="16"/>
      <c r="G165" s="16"/>
      <c r="H165" s="16"/>
      <c r="I165" s="16"/>
    </row>
    <row r="166" spans="1:9" x14ac:dyDescent="0.3">
      <c r="A166" s="16"/>
      <c r="B166" s="16"/>
      <c r="C166" s="16"/>
      <c r="D166" s="16"/>
      <c r="E166" s="16"/>
      <c r="F166" s="16"/>
      <c r="G166" s="16"/>
      <c r="H166" s="16"/>
      <c r="I166" s="16"/>
    </row>
    <row r="167" spans="1:9" x14ac:dyDescent="0.3">
      <c r="A167" s="16"/>
      <c r="B167" s="16"/>
      <c r="C167" s="16"/>
      <c r="D167" s="16"/>
      <c r="E167" s="16"/>
      <c r="F167" s="16"/>
      <c r="G167" s="16"/>
      <c r="H167" s="16"/>
      <c r="I167" s="16"/>
    </row>
    <row r="168" spans="1:9" x14ac:dyDescent="0.3">
      <c r="A168" s="16"/>
      <c r="B168" s="16"/>
      <c r="C168" s="16"/>
      <c r="D168" s="16"/>
      <c r="E168" s="16"/>
      <c r="F168" s="16"/>
      <c r="G168" s="16"/>
      <c r="H168" s="16"/>
      <c r="I168" s="16"/>
    </row>
    <row r="169" spans="1:9" x14ac:dyDescent="0.3">
      <c r="A169" s="16"/>
      <c r="B169" s="16"/>
      <c r="C169" s="16"/>
      <c r="D169" s="16"/>
      <c r="E169" s="16"/>
      <c r="F169" s="16"/>
      <c r="G169" s="16"/>
      <c r="H169" s="16"/>
      <c r="I169" s="16"/>
    </row>
    <row r="170" spans="1:9" x14ac:dyDescent="0.3">
      <c r="A170" s="16"/>
      <c r="B170" s="16"/>
      <c r="C170" s="16"/>
      <c r="D170" s="16"/>
      <c r="E170" s="16"/>
      <c r="F170" s="16"/>
      <c r="G170" s="16"/>
      <c r="H170" s="16"/>
      <c r="I170" s="16"/>
    </row>
    <row r="171" spans="1:9" x14ac:dyDescent="0.3">
      <c r="A171" s="16"/>
      <c r="B171" s="16"/>
      <c r="C171" s="16"/>
      <c r="D171" s="16"/>
      <c r="E171" s="16"/>
      <c r="F171" s="16"/>
      <c r="G171" s="16"/>
      <c r="H171" s="16"/>
      <c r="I171" s="16"/>
    </row>
    <row r="172" spans="1:9" x14ac:dyDescent="0.3">
      <c r="A172" s="16"/>
      <c r="B172" s="16"/>
      <c r="C172" s="16"/>
      <c r="D172" s="16"/>
      <c r="E172" s="16"/>
      <c r="F172" s="16"/>
      <c r="G172" s="16"/>
      <c r="H172" s="16"/>
      <c r="I172" s="16"/>
    </row>
    <row r="173" spans="1:9" x14ac:dyDescent="0.3">
      <c r="A173" s="16"/>
      <c r="B173" s="16"/>
      <c r="C173" s="16"/>
      <c r="D173" s="16"/>
      <c r="E173" s="16"/>
      <c r="F173" s="16"/>
      <c r="G173" s="16"/>
      <c r="H173" s="16"/>
      <c r="I173" s="16"/>
    </row>
    <row r="174" spans="1:9" x14ac:dyDescent="0.3">
      <c r="A174" s="16"/>
      <c r="B174" s="16"/>
      <c r="C174" s="16"/>
      <c r="D174" s="16"/>
      <c r="E174" s="16"/>
      <c r="F174" s="16"/>
      <c r="G174" s="16"/>
      <c r="H174" s="16"/>
      <c r="I174" s="16"/>
    </row>
    <row r="175" spans="1:9" x14ac:dyDescent="0.3">
      <c r="A175" s="16"/>
      <c r="B175" s="16"/>
      <c r="C175" s="16"/>
      <c r="D175" s="16"/>
      <c r="E175" s="16"/>
      <c r="F175" s="16"/>
      <c r="G175" s="16"/>
      <c r="H175" s="16"/>
      <c r="I175" s="16"/>
    </row>
    <row r="176" spans="1:9" x14ac:dyDescent="0.3">
      <c r="A176" s="16"/>
      <c r="B176" s="16"/>
      <c r="C176" s="16"/>
      <c r="D176" s="16"/>
      <c r="E176" s="16"/>
      <c r="F176" s="16"/>
      <c r="G176" s="16"/>
      <c r="H176" s="16"/>
      <c r="I176" s="16"/>
    </row>
    <row r="177" spans="1:9" x14ac:dyDescent="0.3">
      <c r="A177" s="16"/>
      <c r="B177" s="16"/>
      <c r="C177" s="16"/>
      <c r="D177" s="16"/>
      <c r="E177" s="16"/>
      <c r="F177" s="16"/>
      <c r="G177" s="16"/>
      <c r="H177" s="16"/>
      <c r="I177" s="16"/>
    </row>
    <row r="178" spans="1:9" x14ac:dyDescent="0.3">
      <c r="A178" s="16"/>
      <c r="B178" s="16"/>
      <c r="C178" s="16"/>
      <c r="D178" s="16"/>
      <c r="E178" s="16"/>
      <c r="F178" s="16"/>
      <c r="G178" s="16"/>
      <c r="H178" s="16"/>
      <c r="I178" s="16"/>
    </row>
    <row r="179" spans="1:9" x14ac:dyDescent="0.3">
      <c r="A179" s="16"/>
      <c r="B179" s="16"/>
      <c r="C179" s="16"/>
      <c r="D179" s="16"/>
      <c r="E179" s="16"/>
      <c r="F179" s="16"/>
      <c r="G179" s="16"/>
      <c r="H179" s="16"/>
      <c r="I179" s="16"/>
    </row>
    <row r="180" spans="1:9" x14ac:dyDescent="0.3">
      <c r="A180" s="16"/>
      <c r="B180" s="16"/>
      <c r="C180" s="16"/>
      <c r="D180" s="16"/>
      <c r="E180" s="16"/>
      <c r="F180" s="16"/>
      <c r="G180" s="16"/>
      <c r="H180" s="16"/>
      <c r="I180" s="16"/>
    </row>
    <row r="181" spans="1:9" x14ac:dyDescent="0.3">
      <c r="A181" s="16"/>
      <c r="B181" s="16"/>
      <c r="C181" s="16"/>
      <c r="D181" s="16"/>
      <c r="E181" s="16"/>
      <c r="F181" s="16"/>
      <c r="G181" s="16"/>
      <c r="H181" s="16"/>
      <c r="I181" s="16"/>
    </row>
    <row r="182" spans="1:9" x14ac:dyDescent="0.3">
      <c r="A182" s="16"/>
      <c r="B182" s="16"/>
      <c r="C182" s="16"/>
      <c r="D182" s="16"/>
      <c r="E182" s="16"/>
      <c r="F182" s="16"/>
      <c r="G182" s="16"/>
      <c r="H182" s="16"/>
      <c r="I182" s="16"/>
    </row>
    <row r="183" spans="1:9" x14ac:dyDescent="0.3">
      <c r="A183" s="16"/>
      <c r="B183" s="16"/>
      <c r="C183" s="16"/>
      <c r="D183" s="16"/>
      <c r="E183" s="16"/>
      <c r="F183" s="16"/>
      <c r="G183" s="16"/>
      <c r="H183" s="16"/>
      <c r="I183" s="16"/>
    </row>
    <row r="184" spans="1:9" x14ac:dyDescent="0.3">
      <c r="A184" s="16"/>
      <c r="B184" s="16"/>
      <c r="C184" s="16"/>
      <c r="D184" s="16"/>
      <c r="E184" s="16"/>
      <c r="F184" s="16"/>
      <c r="G184" s="16"/>
      <c r="H184" s="16"/>
      <c r="I184" s="16"/>
    </row>
    <row r="185" spans="1:9" x14ac:dyDescent="0.3">
      <c r="A185" s="16"/>
      <c r="B185" s="16"/>
      <c r="C185" s="16"/>
      <c r="D185" s="16"/>
      <c r="E185" s="16"/>
      <c r="F185" s="16"/>
      <c r="G185" s="16"/>
      <c r="H185" s="16"/>
      <c r="I185" s="16"/>
    </row>
    <row r="186" spans="1:9" x14ac:dyDescent="0.3">
      <c r="A186" s="16"/>
      <c r="B186" s="16"/>
      <c r="C186" s="16"/>
      <c r="D186" s="16"/>
      <c r="E186" s="16"/>
      <c r="F186" s="16"/>
      <c r="G186" s="16"/>
      <c r="H186" s="16"/>
      <c r="I186" s="16"/>
    </row>
    <row r="187" spans="1:9" x14ac:dyDescent="0.3">
      <c r="A187" s="16"/>
      <c r="B187" s="16"/>
      <c r="C187" s="16"/>
      <c r="D187" s="16"/>
      <c r="E187" s="16"/>
      <c r="F187" s="16"/>
      <c r="G187" s="16"/>
      <c r="H187" s="16"/>
      <c r="I187" s="16"/>
    </row>
    <row r="188" spans="1:9" x14ac:dyDescent="0.3">
      <c r="A188" s="16"/>
      <c r="B188" s="16"/>
      <c r="C188" s="16"/>
      <c r="D188" s="16"/>
      <c r="E188" s="16"/>
      <c r="F188" s="16"/>
      <c r="G188" s="16"/>
      <c r="H188" s="16"/>
      <c r="I188" s="16"/>
    </row>
    <row r="189" spans="1:9" x14ac:dyDescent="0.3">
      <c r="A189" s="16"/>
      <c r="B189" s="16"/>
      <c r="C189" s="16"/>
      <c r="D189" s="16"/>
      <c r="E189" s="16"/>
      <c r="F189" s="16"/>
      <c r="G189" s="16"/>
      <c r="H189" s="16"/>
      <c r="I189" s="16"/>
    </row>
    <row r="190" spans="1:9" x14ac:dyDescent="0.3">
      <c r="A190" s="16"/>
      <c r="B190" s="16"/>
      <c r="C190" s="16"/>
      <c r="D190" s="16"/>
      <c r="E190" s="16"/>
      <c r="F190" s="16"/>
      <c r="G190" s="16"/>
      <c r="H190" s="16"/>
      <c r="I190" s="16"/>
    </row>
    <row r="191" spans="1:9" x14ac:dyDescent="0.3">
      <c r="A191" s="16"/>
      <c r="B191" s="16"/>
      <c r="C191" s="16"/>
      <c r="D191" s="16"/>
      <c r="E191" s="16"/>
      <c r="F191" s="16"/>
      <c r="G191" s="16"/>
      <c r="H191" s="16"/>
      <c r="I191" s="16"/>
    </row>
    <row r="192" spans="1:9" x14ac:dyDescent="0.3">
      <c r="A192" s="16"/>
      <c r="B192" s="16"/>
      <c r="C192" s="16"/>
      <c r="D192" s="16"/>
      <c r="E192" s="16"/>
      <c r="F192" s="16"/>
      <c r="G192" s="16"/>
      <c r="H192" s="16"/>
      <c r="I192" s="16"/>
    </row>
    <row r="193" spans="1:9" x14ac:dyDescent="0.3">
      <c r="A193" s="16"/>
      <c r="B193" s="16"/>
      <c r="C193" s="16"/>
      <c r="D193" s="16"/>
      <c r="E193" s="16"/>
      <c r="F193" s="16"/>
      <c r="G193" s="16"/>
      <c r="H193" s="16"/>
      <c r="I193" s="16"/>
    </row>
    <row r="194" spans="1:9" x14ac:dyDescent="0.3">
      <c r="A194" s="16"/>
      <c r="B194" s="16"/>
      <c r="C194" s="16"/>
      <c r="D194" s="16"/>
      <c r="E194" s="16"/>
      <c r="F194" s="16"/>
      <c r="G194" s="16"/>
      <c r="H194" s="16"/>
      <c r="I194" s="16"/>
    </row>
    <row r="195" spans="1:9" x14ac:dyDescent="0.3">
      <c r="A195" s="16"/>
      <c r="B195" s="16"/>
      <c r="C195" s="16"/>
      <c r="D195" s="16"/>
      <c r="E195" s="16"/>
      <c r="F195" s="16"/>
      <c r="G195" s="16"/>
      <c r="H195" s="16"/>
      <c r="I195" s="16"/>
    </row>
    <row r="196" spans="1:9" x14ac:dyDescent="0.3">
      <c r="A196" s="16"/>
      <c r="B196" s="16"/>
      <c r="C196" s="16"/>
      <c r="D196" s="16"/>
      <c r="E196" s="16"/>
      <c r="F196" s="16"/>
      <c r="G196" s="16"/>
      <c r="H196" s="16"/>
      <c r="I196" s="16"/>
    </row>
    <row r="197" spans="1:9" x14ac:dyDescent="0.3">
      <c r="A197" s="16"/>
      <c r="B197" s="16"/>
      <c r="C197" s="16"/>
      <c r="D197" s="16"/>
      <c r="E197" s="16"/>
      <c r="F197" s="16"/>
      <c r="G197" s="16"/>
      <c r="H197" s="16"/>
      <c r="I197" s="16"/>
    </row>
    <row r="198" spans="1:9" x14ac:dyDescent="0.3">
      <c r="A198" s="16"/>
      <c r="B198" s="16"/>
      <c r="C198" s="16"/>
      <c r="D198" s="16"/>
      <c r="E198" s="16"/>
      <c r="F198" s="16"/>
      <c r="G198" s="16"/>
      <c r="H198" s="16"/>
      <c r="I198" s="16"/>
    </row>
    <row r="199" spans="1:9" x14ac:dyDescent="0.3">
      <c r="A199" s="16"/>
      <c r="B199" s="16"/>
      <c r="C199" s="16"/>
      <c r="D199" s="16"/>
      <c r="E199" s="16"/>
      <c r="F199" s="16"/>
      <c r="G199" s="16"/>
      <c r="H199" s="16"/>
      <c r="I199" s="16"/>
    </row>
    <row r="200" spans="1:9" x14ac:dyDescent="0.3">
      <c r="A200" s="16"/>
      <c r="B200" s="16"/>
      <c r="C200" s="16"/>
      <c r="D200" s="16"/>
      <c r="E200" s="16"/>
      <c r="F200" s="16"/>
      <c r="G200" s="16"/>
      <c r="H200" s="16"/>
      <c r="I200" s="16"/>
    </row>
    <row r="201" spans="1:9" x14ac:dyDescent="0.3">
      <c r="A201" s="16"/>
      <c r="B201" s="16"/>
      <c r="C201" s="16"/>
      <c r="D201" s="16"/>
      <c r="E201" s="16"/>
      <c r="F201" s="16"/>
      <c r="G201" s="16"/>
      <c r="H201" s="16"/>
      <c r="I201" s="16"/>
    </row>
    <row r="202" spans="1:9" x14ac:dyDescent="0.3">
      <c r="A202" s="16"/>
      <c r="B202" s="16"/>
      <c r="C202" s="16"/>
      <c r="D202" s="16"/>
      <c r="E202" s="16"/>
      <c r="F202" s="16"/>
      <c r="G202" s="16"/>
      <c r="H202" s="16"/>
      <c r="I202" s="16"/>
    </row>
    <row r="203" spans="1:9" x14ac:dyDescent="0.3">
      <c r="A203" s="16"/>
      <c r="B203" s="16"/>
      <c r="C203" s="16"/>
      <c r="D203" s="16"/>
      <c r="E203" s="16"/>
      <c r="F203" s="16"/>
      <c r="G203" s="16"/>
      <c r="H203" s="16"/>
      <c r="I203" s="16"/>
    </row>
    <row r="204" spans="1:9" x14ac:dyDescent="0.3">
      <c r="A204" s="16"/>
      <c r="B204" s="16"/>
      <c r="C204" s="16"/>
      <c r="D204" s="16"/>
      <c r="E204" s="16"/>
      <c r="F204" s="16"/>
      <c r="G204" s="16"/>
      <c r="H204" s="16"/>
      <c r="I204" s="16"/>
    </row>
    <row r="205" spans="1:9" x14ac:dyDescent="0.3">
      <c r="A205" s="16"/>
      <c r="B205" s="16"/>
      <c r="C205" s="16"/>
      <c r="D205" s="16"/>
      <c r="E205" s="16"/>
      <c r="F205" s="16"/>
      <c r="G205" s="16"/>
      <c r="H205" s="16"/>
      <c r="I205" s="16"/>
    </row>
    <row r="206" spans="1:9" x14ac:dyDescent="0.3">
      <c r="A206" s="16"/>
      <c r="B206" s="16"/>
      <c r="C206" s="16"/>
      <c r="D206" s="16"/>
      <c r="E206" s="16"/>
      <c r="F206" s="16"/>
      <c r="G206" s="16"/>
      <c r="H206" s="16"/>
      <c r="I206" s="16"/>
    </row>
    <row r="207" spans="1:9" x14ac:dyDescent="0.3">
      <c r="A207" s="16"/>
      <c r="B207" s="16"/>
      <c r="C207" s="16"/>
      <c r="D207" s="16"/>
      <c r="E207" s="16"/>
      <c r="F207" s="16"/>
      <c r="G207" s="16"/>
      <c r="H207" s="16"/>
      <c r="I207" s="16"/>
    </row>
    <row r="208" spans="1:9" x14ac:dyDescent="0.3">
      <c r="A208" s="16"/>
      <c r="B208" s="16"/>
      <c r="C208" s="16"/>
      <c r="D208" s="16"/>
      <c r="E208" s="16"/>
      <c r="F208" s="16"/>
      <c r="G208" s="16"/>
      <c r="H208" s="16"/>
      <c r="I208" s="16"/>
    </row>
  </sheetData>
  <dataValidations count="2">
    <dataValidation type="list" allowBlank="1" sqref="C2:C210">
      <formula1>"информация,софтуер,хардуер,услуга,мрежа,хора,помещение"</formula1>
      <formula2>0</formula2>
    </dataValidation>
    <dataValidation type="list" allowBlank="1" sqref="F2:F210">
      <formula1>"публична,вътрешна,поверителна,строго поверителна"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10"/>
  <sheetViews>
    <sheetView topLeftCell="D1" zoomScaleNormal="100" workbookViewId="0">
      <pane ySplit="1" topLeftCell="A2" activePane="bottomLeft" state="frozen"/>
      <selection pane="bottomLeft" activeCell="M2" sqref="M2:M13"/>
    </sheetView>
  </sheetViews>
  <sheetFormatPr defaultColWidth="8.6640625" defaultRowHeight="14.4" x14ac:dyDescent="0.3"/>
  <cols>
    <col min="1" max="1" width="8" customWidth="1"/>
    <col min="2" max="2" width="24" customWidth="1"/>
    <col min="3" max="3" width="20" customWidth="1"/>
    <col min="4" max="4" width="30" customWidth="1"/>
    <col min="5" max="5" width="34" customWidth="1"/>
    <col min="6" max="6" width="26" customWidth="1"/>
    <col min="7" max="8" width="5" customWidth="1"/>
    <col min="9" max="9" width="7" customWidth="1"/>
    <col min="10" max="11" width="9" customWidth="1"/>
    <col min="12" max="12" width="14" customWidth="1"/>
    <col min="13" max="13" width="20" customWidth="1"/>
    <col min="14" max="14" width="12" customWidth="1"/>
    <col min="15" max="15" width="10" customWidth="1"/>
    <col min="16" max="17" width="8" customWidth="1"/>
    <col min="18" max="18" width="11" customWidth="1"/>
    <col min="19" max="19" width="30" customWidth="1"/>
  </cols>
  <sheetData>
    <row r="1" spans="1:19" ht="30" customHeight="1" x14ac:dyDescent="0.3">
      <c r="A1" s="15" t="s">
        <v>108</v>
      </c>
      <c r="B1" s="15" t="s">
        <v>82</v>
      </c>
      <c r="C1" s="15" t="s">
        <v>152</v>
      </c>
      <c r="D1" s="15" t="s">
        <v>109</v>
      </c>
      <c r="E1" s="15" t="s">
        <v>110</v>
      </c>
      <c r="F1" s="15" t="s">
        <v>111</v>
      </c>
      <c r="G1" s="15" t="s">
        <v>148</v>
      </c>
      <c r="H1" s="15" t="s">
        <v>149</v>
      </c>
      <c r="I1" s="15" t="s">
        <v>112</v>
      </c>
      <c r="J1" s="15" t="s">
        <v>27</v>
      </c>
      <c r="K1" s="15" t="s">
        <v>113</v>
      </c>
      <c r="L1" s="15" t="s">
        <v>114</v>
      </c>
      <c r="M1" s="15" t="s">
        <v>115</v>
      </c>
      <c r="N1" s="15" t="s">
        <v>116</v>
      </c>
      <c r="O1" s="15" t="s">
        <v>117</v>
      </c>
      <c r="P1" s="15" t="s">
        <v>150</v>
      </c>
      <c r="Q1" s="15" t="s">
        <v>151</v>
      </c>
      <c r="R1" s="15" t="s">
        <v>120</v>
      </c>
      <c r="S1" s="15" t="s">
        <v>121</v>
      </c>
    </row>
    <row r="2" spans="1:19" ht="66" x14ac:dyDescent="0.3">
      <c r="A2" s="16" t="s">
        <v>194</v>
      </c>
      <c r="B2" s="16" t="s">
        <v>195</v>
      </c>
      <c r="C2" s="16" t="s">
        <v>196</v>
      </c>
      <c r="D2" s="16" t="s">
        <v>197</v>
      </c>
      <c r="E2" s="16" t="s">
        <v>198</v>
      </c>
      <c r="F2" s="16" t="s">
        <v>199</v>
      </c>
      <c r="G2" s="16">
        <v>4</v>
      </c>
      <c r="H2" s="16">
        <v>4</v>
      </c>
      <c r="I2" s="19">
        <f t="shared" ref="I2:I13" si="0">IF(OR(G2="",H2=""),"",G2*H2)</f>
        <v>16</v>
      </c>
      <c r="J2" s="19" t="str">
        <f t="shared" ref="J2:J13" si="1">IF(I2="","",IF(I2&lt;=4,"нисък",IF(I2&lt;=9,"умерен",IF(I2&lt;=15,"висок","критичен"))))</f>
        <v>критичен</v>
      </c>
      <c r="K2" s="19" t="str">
        <f>IF(I2="","",IF(I2&lt;=[1]Скали!$B$1,"да","не"))</f>
        <v>не</v>
      </c>
      <c r="L2" s="16" t="s">
        <v>123</v>
      </c>
      <c r="M2" s="16" t="s">
        <v>93</v>
      </c>
      <c r="N2" s="16" t="s">
        <v>124</v>
      </c>
      <c r="O2" s="16" t="s">
        <v>125</v>
      </c>
      <c r="P2" s="16">
        <v>2</v>
      </c>
      <c r="Q2" s="16">
        <v>4</v>
      </c>
      <c r="R2" s="18">
        <f t="shared" ref="R2:R65" si="2">IF(OR(P2="",Q2=""),"",P2*Q2)</f>
        <v>8</v>
      </c>
      <c r="S2" s="17" t="s">
        <v>126</v>
      </c>
    </row>
    <row r="3" spans="1:19" ht="66" x14ac:dyDescent="0.3">
      <c r="A3" s="16" t="s">
        <v>200</v>
      </c>
      <c r="B3" s="16" t="s">
        <v>201</v>
      </c>
      <c r="C3" s="16" t="s">
        <v>202</v>
      </c>
      <c r="D3" s="16" t="s">
        <v>203</v>
      </c>
      <c r="E3" s="16" t="s">
        <v>204</v>
      </c>
      <c r="F3" s="16" t="s">
        <v>205</v>
      </c>
      <c r="G3" s="16">
        <v>3</v>
      </c>
      <c r="H3" s="16">
        <v>4</v>
      </c>
      <c r="I3" s="19">
        <f t="shared" si="0"/>
        <v>12</v>
      </c>
      <c r="J3" s="19" t="str">
        <f t="shared" si="1"/>
        <v>висок</v>
      </c>
      <c r="K3" s="19" t="str">
        <f>IF(I3="","",IF(I3&lt;=[1]Скали!$B$1,"да","не"))</f>
        <v>не</v>
      </c>
      <c r="L3" s="16" t="s">
        <v>123</v>
      </c>
      <c r="M3" s="16" t="s">
        <v>154</v>
      </c>
      <c r="N3" s="16" t="s">
        <v>99</v>
      </c>
      <c r="O3" s="16" t="s">
        <v>99</v>
      </c>
      <c r="P3" s="16">
        <v>2</v>
      </c>
      <c r="Q3" s="16">
        <v>2</v>
      </c>
      <c r="R3" s="18">
        <f t="shared" si="2"/>
        <v>4</v>
      </c>
      <c r="S3" s="17" t="s">
        <v>129</v>
      </c>
    </row>
    <row r="4" spans="1:19" ht="52.8" x14ac:dyDescent="0.3">
      <c r="A4" s="16" t="s">
        <v>206</v>
      </c>
      <c r="B4" s="16" t="s">
        <v>207</v>
      </c>
      <c r="C4" s="16" t="s">
        <v>208</v>
      </c>
      <c r="D4" s="16" t="s">
        <v>209</v>
      </c>
      <c r="E4" s="16" t="s">
        <v>210</v>
      </c>
      <c r="F4" s="16" t="s">
        <v>211</v>
      </c>
      <c r="G4" s="16">
        <v>2</v>
      </c>
      <c r="H4" s="16">
        <v>5</v>
      </c>
      <c r="I4" s="19">
        <f t="shared" si="0"/>
        <v>10</v>
      </c>
      <c r="J4" s="19" t="str">
        <f t="shared" si="1"/>
        <v>висок</v>
      </c>
      <c r="K4" s="19" t="str">
        <f>IF(I4="","",IF(I4&lt;=[1]Скали!$B$1,"да","не"))</f>
        <v>не</v>
      </c>
      <c r="L4" s="16" t="s">
        <v>123</v>
      </c>
      <c r="M4" s="16" t="s">
        <v>154</v>
      </c>
      <c r="N4" s="16"/>
      <c r="O4" s="16"/>
      <c r="P4" s="16"/>
      <c r="Q4" s="16"/>
      <c r="R4" s="18" t="str">
        <f t="shared" si="2"/>
        <v/>
      </c>
      <c r="S4" s="16"/>
    </row>
    <row r="5" spans="1:19" ht="52.8" x14ac:dyDescent="0.3">
      <c r="A5" s="16" t="s">
        <v>122</v>
      </c>
      <c r="B5" s="16" t="s">
        <v>212</v>
      </c>
      <c r="C5" s="16" t="s">
        <v>213</v>
      </c>
      <c r="D5" s="16" t="s">
        <v>214</v>
      </c>
      <c r="E5" s="16" t="s">
        <v>215</v>
      </c>
      <c r="F5" s="16" t="s">
        <v>216</v>
      </c>
      <c r="G5" s="16">
        <v>4</v>
      </c>
      <c r="H5" s="16">
        <v>3</v>
      </c>
      <c r="I5" s="19">
        <f t="shared" si="0"/>
        <v>12</v>
      </c>
      <c r="J5" s="19" t="str">
        <f t="shared" si="1"/>
        <v>висок</v>
      </c>
      <c r="K5" s="19" t="str">
        <f>IF(I5="","",IF(I5&lt;=[1]Скали!$B$1,"да","не"))</f>
        <v>не</v>
      </c>
      <c r="L5" s="16" t="s">
        <v>123</v>
      </c>
      <c r="M5" s="16" t="s">
        <v>154</v>
      </c>
      <c r="N5" s="16"/>
      <c r="O5" s="16"/>
      <c r="P5" s="16"/>
      <c r="Q5" s="16"/>
      <c r="R5" s="18" t="str">
        <f t="shared" si="2"/>
        <v/>
      </c>
      <c r="S5" s="16"/>
    </row>
    <row r="6" spans="1:19" ht="52.8" x14ac:dyDescent="0.3">
      <c r="A6" s="16" t="s">
        <v>217</v>
      </c>
      <c r="B6" s="16" t="s">
        <v>218</v>
      </c>
      <c r="C6" s="16" t="s">
        <v>219</v>
      </c>
      <c r="D6" s="16" t="s">
        <v>220</v>
      </c>
      <c r="E6" s="16" t="s">
        <v>221</v>
      </c>
      <c r="F6" s="16" t="s">
        <v>222</v>
      </c>
      <c r="G6" s="16">
        <v>2</v>
      </c>
      <c r="H6" s="16">
        <v>5</v>
      </c>
      <c r="I6" s="19">
        <f t="shared" si="0"/>
        <v>10</v>
      </c>
      <c r="J6" s="19" t="str">
        <f t="shared" si="1"/>
        <v>висок</v>
      </c>
      <c r="K6" s="19" t="str">
        <f>IF(I6="","",IF(I6&lt;=[1]Скали!$B$1,"да","не"))</f>
        <v>не</v>
      </c>
      <c r="L6" s="16" t="s">
        <v>123</v>
      </c>
      <c r="M6" s="16" t="s">
        <v>154</v>
      </c>
      <c r="N6" s="16"/>
      <c r="O6" s="16"/>
      <c r="P6" s="16"/>
      <c r="Q6" s="16"/>
      <c r="R6" s="18" t="str">
        <f t="shared" si="2"/>
        <v/>
      </c>
      <c r="S6" s="16"/>
    </row>
    <row r="7" spans="1:19" ht="39.6" x14ac:dyDescent="0.3">
      <c r="A7" s="16" t="s">
        <v>223</v>
      </c>
      <c r="B7" s="16" t="s">
        <v>224</v>
      </c>
      <c r="C7" s="16" t="s">
        <v>225</v>
      </c>
      <c r="D7" s="16" t="s">
        <v>226</v>
      </c>
      <c r="E7" s="16" t="s">
        <v>227</v>
      </c>
      <c r="F7" s="16" t="s">
        <v>228</v>
      </c>
      <c r="G7" s="16">
        <v>3</v>
      </c>
      <c r="H7" s="16">
        <v>4</v>
      </c>
      <c r="I7" s="19">
        <f t="shared" si="0"/>
        <v>12</v>
      </c>
      <c r="J7" s="19" t="str">
        <f t="shared" si="1"/>
        <v>висок</v>
      </c>
      <c r="K7" s="19" t="str">
        <f>IF(I7="","",IF(I7&lt;=[1]Скали!$B$1,"да","не"))</f>
        <v>не</v>
      </c>
      <c r="L7" s="16" t="s">
        <v>123</v>
      </c>
      <c r="M7" s="16" t="s">
        <v>166</v>
      </c>
      <c r="N7" s="16"/>
      <c r="O7" s="16"/>
      <c r="P7" s="16"/>
      <c r="Q7" s="16"/>
      <c r="R7" s="18" t="str">
        <f t="shared" si="2"/>
        <v/>
      </c>
      <c r="S7" s="16"/>
    </row>
    <row r="8" spans="1:19" ht="52.8" x14ac:dyDescent="0.3">
      <c r="A8" s="16" t="s">
        <v>127</v>
      </c>
      <c r="B8" s="16" t="s">
        <v>229</v>
      </c>
      <c r="C8" s="16" t="s">
        <v>230</v>
      </c>
      <c r="D8" s="16" t="s">
        <v>231</v>
      </c>
      <c r="E8" s="16" t="s">
        <v>232</v>
      </c>
      <c r="F8" s="16" t="s">
        <v>233</v>
      </c>
      <c r="G8" s="16">
        <v>3</v>
      </c>
      <c r="H8" s="16">
        <v>2</v>
      </c>
      <c r="I8" s="19">
        <f t="shared" si="0"/>
        <v>6</v>
      </c>
      <c r="J8" s="19" t="str">
        <f t="shared" si="1"/>
        <v>умерен</v>
      </c>
      <c r="K8" s="19" t="str">
        <f>IF(I8="","",IF(I8&lt;=[1]Скали!$B$1,"да","не"))</f>
        <v>да</v>
      </c>
      <c r="L8" s="16" t="s">
        <v>128</v>
      </c>
      <c r="M8" s="16" t="s">
        <v>107</v>
      </c>
      <c r="N8" s="16"/>
      <c r="O8" s="16"/>
      <c r="P8" s="16"/>
      <c r="Q8" s="16"/>
      <c r="R8" s="18" t="str">
        <f t="shared" si="2"/>
        <v/>
      </c>
      <c r="S8" s="16"/>
    </row>
    <row r="9" spans="1:19" ht="66" x14ac:dyDescent="0.3">
      <c r="A9" s="16" t="s">
        <v>234</v>
      </c>
      <c r="B9" s="16" t="s">
        <v>235</v>
      </c>
      <c r="C9" s="16" t="s">
        <v>236</v>
      </c>
      <c r="D9" s="16" t="s">
        <v>237</v>
      </c>
      <c r="E9" s="16" t="s">
        <v>238</v>
      </c>
      <c r="F9" s="16" t="s">
        <v>239</v>
      </c>
      <c r="G9" s="16">
        <v>3</v>
      </c>
      <c r="H9" s="16">
        <v>3</v>
      </c>
      <c r="I9" s="19">
        <f t="shared" si="0"/>
        <v>9</v>
      </c>
      <c r="J9" s="19" t="str">
        <f t="shared" si="1"/>
        <v>умерен</v>
      </c>
      <c r="K9" s="19" t="str">
        <f>IF(I9="","",IF(I9&lt;=[1]Скали!$B$1,"да","не"))</f>
        <v>да</v>
      </c>
      <c r="L9" s="16" t="s">
        <v>128</v>
      </c>
      <c r="M9" s="16" t="s">
        <v>107</v>
      </c>
      <c r="N9" s="16"/>
      <c r="O9" s="16"/>
      <c r="P9" s="16"/>
      <c r="Q9" s="16"/>
      <c r="R9" s="18" t="str">
        <f t="shared" si="2"/>
        <v/>
      </c>
      <c r="S9" s="16"/>
    </row>
    <row r="10" spans="1:19" ht="52.8" x14ac:dyDescent="0.3">
      <c r="A10" s="16" t="s">
        <v>240</v>
      </c>
      <c r="B10" s="16" t="s">
        <v>241</v>
      </c>
      <c r="C10" s="16" t="s">
        <v>242</v>
      </c>
      <c r="D10" s="16" t="s">
        <v>243</v>
      </c>
      <c r="E10" s="16" t="s">
        <v>244</v>
      </c>
      <c r="F10" s="16" t="s">
        <v>245</v>
      </c>
      <c r="G10" s="16">
        <v>1</v>
      </c>
      <c r="H10" s="16">
        <v>3</v>
      </c>
      <c r="I10" s="19">
        <f t="shared" si="0"/>
        <v>3</v>
      </c>
      <c r="J10" s="19" t="str">
        <f t="shared" si="1"/>
        <v>нисък</v>
      </c>
      <c r="K10" s="19" t="str">
        <f>IF(I10="","",IF(I10&lt;=[1]Скали!$B$1,"да","не"))</f>
        <v>да</v>
      </c>
      <c r="L10" s="16" t="s">
        <v>128</v>
      </c>
      <c r="M10" s="16" t="s">
        <v>166</v>
      </c>
      <c r="N10" s="16"/>
      <c r="O10" s="16"/>
      <c r="P10" s="16"/>
      <c r="Q10" s="16"/>
      <c r="R10" s="18" t="str">
        <f t="shared" si="2"/>
        <v/>
      </c>
      <c r="S10" s="16"/>
    </row>
    <row r="11" spans="1:19" ht="39.6" x14ac:dyDescent="0.3">
      <c r="A11" s="16" t="s">
        <v>246</v>
      </c>
      <c r="B11" s="16" t="s">
        <v>201</v>
      </c>
      <c r="C11" s="16" t="s">
        <v>247</v>
      </c>
      <c r="D11" s="16" t="s">
        <v>248</v>
      </c>
      <c r="E11" s="16" t="s">
        <v>249</v>
      </c>
      <c r="F11" s="16" t="s">
        <v>99</v>
      </c>
      <c r="G11" s="16">
        <v>4</v>
      </c>
      <c r="H11" s="16">
        <v>3</v>
      </c>
      <c r="I11" s="19">
        <f t="shared" si="0"/>
        <v>12</v>
      </c>
      <c r="J11" s="19" t="str">
        <f t="shared" si="1"/>
        <v>висок</v>
      </c>
      <c r="K11" s="19" t="str">
        <f>IF(I11="","",IF(I11&lt;=[1]Скали!$B$1,"да","не"))</f>
        <v>не</v>
      </c>
      <c r="L11" s="16" t="s">
        <v>123</v>
      </c>
      <c r="M11" s="16" t="s">
        <v>94</v>
      </c>
      <c r="N11" s="16"/>
      <c r="O11" s="16"/>
      <c r="P11" s="16"/>
      <c r="Q11" s="16"/>
      <c r="R11" s="18" t="str">
        <f t="shared" si="2"/>
        <v/>
      </c>
      <c r="S11" s="16"/>
    </row>
    <row r="12" spans="1:19" ht="39.6" x14ac:dyDescent="0.3">
      <c r="A12" s="16" t="s">
        <v>250</v>
      </c>
      <c r="B12" s="16" t="s">
        <v>251</v>
      </c>
      <c r="C12" s="16" t="s">
        <v>252</v>
      </c>
      <c r="D12" s="16" t="s">
        <v>253</v>
      </c>
      <c r="E12" s="16" t="s">
        <v>254</v>
      </c>
      <c r="F12" s="16" t="s">
        <v>255</v>
      </c>
      <c r="G12" s="16">
        <v>2</v>
      </c>
      <c r="H12" s="16">
        <v>3</v>
      </c>
      <c r="I12" s="19">
        <f t="shared" si="0"/>
        <v>6</v>
      </c>
      <c r="J12" s="19" t="str">
        <f t="shared" si="1"/>
        <v>умерен</v>
      </c>
      <c r="K12" s="19" t="str">
        <f>IF(I12="","",IF(I12&lt;=[1]Скали!$B$1,"да","не"))</f>
        <v>да</v>
      </c>
      <c r="L12" s="16" t="s">
        <v>128</v>
      </c>
      <c r="M12" s="16" t="s">
        <v>93</v>
      </c>
      <c r="N12" s="16"/>
      <c r="O12" s="16"/>
      <c r="P12" s="16"/>
      <c r="Q12" s="16"/>
      <c r="R12" s="18" t="str">
        <f t="shared" si="2"/>
        <v/>
      </c>
      <c r="S12" s="16"/>
    </row>
    <row r="13" spans="1:19" ht="39.6" x14ac:dyDescent="0.3">
      <c r="A13" s="16" t="s">
        <v>256</v>
      </c>
      <c r="B13" s="16" t="s">
        <v>257</v>
      </c>
      <c r="C13" s="16" t="s">
        <v>258</v>
      </c>
      <c r="D13" s="16" t="s">
        <v>259</v>
      </c>
      <c r="E13" s="16" t="s">
        <v>260</v>
      </c>
      <c r="F13" s="16" t="s">
        <v>261</v>
      </c>
      <c r="G13" s="16">
        <v>2</v>
      </c>
      <c r="H13" s="16">
        <v>2</v>
      </c>
      <c r="I13" s="19">
        <f t="shared" si="0"/>
        <v>4</v>
      </c>
      <c r="J13" s="19" t="str">
        <f t="shared" si="1"/>
        <v>нисък</v>
      </c>
      <c r="K13" s="19" t="str">
        <f>IF(I13="","",IF(I13&lt;=[1]Скали!$B$1,"да","не"))</f>
        <v>да</v>
      </c>
      <c r="L13" s="16" t="s">
        <v>128</v>
      </c>
      <c r="M13" s="16" t="s">
        <v>93</v>
      </c>
      <c r="N13" s="16"/>
      <c r="O13" s="16"/>
      <c r="P13" s="16"/>
      <c r="Q13" s="16"/>
      <c r="R13" s="18" t="str">
        <f t="shared" si="2"/>
        <v/>
      </c>
      <c r="S13" s="16"/>
    </row>
    <row r="14" spans="1:19" x14ac:dyDescent="0.3">
      <c r="A14" s="16"/>
      <c r="B14" s="16"/>
      <c r="C14" s="16"/>
      <c r="D14" s="16"/>
      <c r="E14" s="16"/>
      <c r="F14" s="16"/>
      <c r="G14" s="16"/>
      <c r="H14" s="16"/>
      <c r="I14" s="18" t="str">
        <f t="shared" ref="I14:I65" si="3">IF(OR(G14="",H14=""),"",G14*H14)</f>
        <v/>
      </c>
      <c r="J14" s="19" t="str">
        <f t="shared" ref="J14:J65" si="4">IF(I14="","",IF(I14&lt;=4,"нисък",IF(I14&lt;=9,"умерен",IF(I14&lt;=15,"висок","критичен"))))</f>
        <v/>
      </c>
      <c r="K14" s="19" t="str">
        <f>IF(I14="","",IF(I14&lt;=Скали!$B$1,"да","не"))</f>
        <v/>
      </c>
      <c r="L14" s="16"/>
      <c r="M14" s="16"/>
      <c r="N14" s="16"/>
      <c r="O14" s="16"/>
      <c r="P14" s="16"/>
      <c r="Q14" s="16"/>
      <c r="R14" s="18" t="str">
        <f t="shared" si="2"/>
        <v/>
      </c>
      <c r="S14" s="16"/>
    </row>
    <row r="15" spans="1:19" x14ac:dyDescent="0.3">
      <c r="A15" s="16"/>
      <c r="B15" s="16"/>
      <c r="C15" s="16"/>
      <c r="D15" s="16"/>
      <c r="E15" s="16"/>
      <c r="F15" s="16"/>
      <c r="G15" s="16"/>
      <c r="H15" s="16"/>
      <c r="I15" s="18" t="str">
        <f t="shared" si="3"/>
        <v/>
      </c>
      <c r="J15" s="19" t="str">
        <f t="shared" si="4"/>
        <v/>
      </c>
      <c r="K15" s="19" t="str">
        <f>IF(I15="","",IF(I15&lt;=Скали!$B$1,"да","не"))</f>
        <v/>
      </c>
      <c r="L15" s="16"/>
      <c r="M15" s="16"/>
      <c r="N15" s="16"/>
      <c r="O15" s="16"/>
      <c r="P15" s="16"/>
      <c r="Q15" s="16"/>
      <c r="R15" s="18" t="str">
        <f t="shared" si="2"/>
        <v/>
      </c>
      <c r="S15" s="16"/>
    </row>
    <row r="16" spans="1:19" x14ac:dyDescent="0.3">
      <c r="A16" s="16"/>
      <c r="B16" s="16"/>
      <c r="C16" s="16"/>
      <c r="D16" s="16"/>
      <c r="E16" s="16"/>
      <c r="F16" s="16"/>
      <c r="G16" s="16"/>
      <c r="H16" s="16"/>
      <c r="I16" s="18" t="str">
        <f t="shared" si="3"/>
        <v/>
      </c>
      <c r="J16" s="19" t="str">
        <f t="shared" si="4"/>
        <v/>
      </c>
      <c r="K16" s="19" t="str">
        <f>IF(I16="","",IF(I16&lt;=Скали!$B$1,"да","не"))</f>
        <v/>
      </c>
      <c r="L16" s="16"/>
      <c r="M16" s="16"/>
      <c r="N16" s="16"/>
      <c r="O16" s="16"/>
      <c r="P16" s="16"/>
      <c r="Q16" s="16"/>
      <c r="R16" s="18" t="str">
        <f t="shared" si="2"/>
        <v/>
      </c>
      <c r="S16" s="16"/>
    </row>
    <row r="17" spans="1:19" x14ac:dyDescent="0.3">
      <c r="A17" s="16"/>
      <c r="B17" s="16"/>
      <c r="C17" s="16"/>
      <c r="D17" s="16"/>
      <c r="E17" s="16"/>
      <c r="F17" s="16"/>
      <c r="G17" s="16"/>
      <c r="H17" s="16"/>
      <c r="I17" s="18" t="str">
        <f t="shared" si="3"/>
        <v/>
      </c>
      <c r="J17" s="19" t="str">
        <f t="shared" si="4"/>
        <v/>
      </c>
      <c r="K17" s="19" t="str">
        <f>IF(I17="","",IF(I17&lt;=Скали!$B$1,"да","не"))</f>
        <v/>
      </c>
      <c r="L17" s="16"/>
      <c r="M17" s="16"/>
      <c r="N17" s="16"/>
      <c r="O17" s="16"/>
      <c r="P17" s="16"/>
      <c r="Q17" s="16"/>
      <c r="R17" s="18" t="str">
        <f t="shared" si="2"/>
        <v/>
      </c>
      <c r="S17" s="16"/>
    </row>
    <row r="18" spans="1:19" x14ac:dyDescent="0.3">
      <c r="A18" s="16"/>
      <c r="B18" s="16"/>
      <c r="C18" s="16"/>
      <c r="D18" s="16"/>
      <c r="E18" s="16"/>
      <c r="F18" s="16"/>
      <c r="G18" s="16"/>
      <c r="H18" s="16"/>
      <c r="I18" s="18" t="str">
        <f t="shared" si="3"/>
        <v/>
      </c>
      <c r="J18" s="19" t="str">
        <f t="shared" si="4"/>
        <v/>
      </c>
      <c r="K18" s="19" t="str">
        <f>IF(I18="","",IF(I18&lt;=Скали!$B$1,"да","не"))</f>
        <v/>
      </c>
      <c r="L18" s="16"/>
      <c r="M18" s="16"/>
      <c r="N18" s="16"/>
      <c r="O18" s="16"/>
      <c r="P18" s="16"/>
      <c r="Q18" s="16"/>
      <c r="R18" s="18" t="str">
        <f t="shared" si="2"/>
        <v/>
      </c>
      <c r="S18" s="16"/>
    </row>
    <row r="19" spans="1:19" x14ac:dyDescent="0.3">
      <c r="A19" s="16"/>
      <c r="B19" s="16"/>
      <c r="C19" s="16"/>
      <c r="D19" s="16"/>
      <c r="E19" s="16"/>
      <c r="F19" s="16"/>
      <c r="G19" s="16"/>
      <c r="H19" s="16"/>
      <c r="I19" s="18" t="str">
        <f t="shared" si="3"/>
        <v/>
      </c>
      <c r="J19" s="19" t="str">
        <f t="shared" si="4"/>
        <v/>
      </c>
      <c r="K19" s="19" t="str">
        <f>IF(I19="","",IF(I19&lt;=Скали!$B$1,"да","не"))</f>
        <v/>
      </c>
      <c r="L19" s="16"/>
      <c r="M19" s="16"/>
      <c r="N19" s="16"/>
      <c r="O19" s="16"/>
      <c r="P19" s="16"/>
      <c r="Q19" s="16"/>
      <c r="R19" s="18" t="str">
        <f t="shared" si="2"/>
        <v/>
      </c>
      <c r="S19" s="16"/>
    </row>
    <row r="20" spans="1:19" x14ac:dyDescent="0.3">
      <c r="A20" s="16"/>
      <c r="B20" s="16"/>
      <c r="C20" s="16"/>
      <c r="D20" s="16"/>
      <c r="E20" s="16"/>
      <c r="F20" s="16"/>
      <c r="G20" s="16"/>
      <c r="H20" s="16"/>
      <c r="I20" s="18" t="str">
        <f t="shared" si="3"/>
        <v/>
      </c>
      <c r="J20" s="19" t="str">
        <f t="shared" si="4"/>
        <v/>
      </c>
      <c r="K20" s="19" t="str">
        <f>IF(I20="","",IF(I20&lt;=Скали!$B$1,"да","не"))</f>
        <v/>
      </c>
      <c r="L20" s="16"/>
      <c r="M20" s="16"/>
      <c r="N20" s="16"/>
      <c r="O20" s="16"/>
      <c r="P20" s="16"/>
      <c r="Q20" s="16"/>
      <c r="R20" s="18" t="str">
        <f t="shared" si="2"/>
        <v/>
      </c>
      <c r="S20" s="16"/>
    </row>
    <row r="21" spans="1:19" x14ac:dyDescent="0.3">
      <c r="A21" s="16"/>
      <c r="B21" s="16"/>
      <c r="C21" s="16"/>
      <c r="D21" s="16"/>
      <c r="E21" s="16"/>
      <c r="F21" s="16"/>
      <c r="G21" s="16"/>
      <c r="H21" s="16"/>
      <c r="I21" s="18" t="str">
        <f t="shared" si="3"/>
        <v/>
      </c>
      <c r="J21" s="19" t="str">
        <f t="shared" si="4"/>
        <v/>
      </c>
      <c r="K21" s="19" t="str">
        <f>IF(I21="","",IF(I21&lt;=Скали!$B$1,"да","не"))</f>
        <v/>
      </c>
      <c r="L21" s="16"/>
      <c r="M21" s="16"/>
      <c r="N21" s="16"/>
      <c r="O21" s="16"/>
      <c r="P21" s="16"/>
      <c r="Q21" s="16"/>
      <c r="R21" s="18" t="str">
        <f t="shared" si="2"/>
        <v/>
      </c>
      <c r="S21" s="16"/>
    </row>
    <row r="22" spans="1:19" x14ac:dyDescent="0.3">
      <c r="A22" s="16"/>
      <c r="B22" s="16"/>
      <c r="C22" s="16"/>
      <c r="D22" s="16"/>
      <c r="E22" s="16"/>
      <c r="F22" s="16"/>
      <c r="G22" s="16"/>
      <c r="H22" s="16"/>
      <c r="I22" s="18" t="str">
        <f t="shared" si="3"/>
        <v/>
      </c>
      <c r="J22" s="19" t="str">
        <f t="shared" si="4"/>
        <v/>
      </c>
      <c r="K22" s="19" t="str">
        <f>IF(I22="","",IF(I22&lt;=Скали!$B$1,"да","не"))</f>
        <v/>
      </c>
      <c r="L22" s="16"/>
      <c r="M22" s="16"/>
      <c r="N22" s="16"/>
      <c r="O22" s="16"/>
      <c r="P22" s="16"/>
      <c r="Q22" s="16"/>
      <c r="R22" s="18" t="str">
        <f t="shared" si="2"/>
        <v/>
      </c>
      <c r="S22" s="16"/>
    </row>
    <row r="23" spans="1:19" x14ac:dyDescent="0.3">
      <c r="A23" s="16"/>
      <c r="B23" s="16"/>
      <c r="C23" s="16"/>
      <c r="D23" s="16"/>
      <c r="E23" s="16"/>
      <c r="F23" s="16"/>
      <c r="G23" s="16"/>
      <c r="H23" s="16"/>
      <c r="I23" s="18" t="str">
        <f t="shared" si="3"/>
        <v/>
      </c>
      <c r="J23" s="19" t="str">
        <f t="shared" si="4"/>
        <v/>
      </c>
      <c r="K23" s="19" t="str">
        <f>IF(I23="","",IF(I23&lt;=Скали!$B$1,"да","не"))</f>
        <v/>
      </c>
      <c r="L23" s="16"/>
      <c r="M23" s="16"/>
      <c r="N23" s="16"/>
      <c r="O23" s="16"/>
      <c r="P23" s="16"/>
      <c r="Q23" s="16"/>
      <c r="R23" s="18" t="str">
        <f t="shared" si="2"/>
        <v/>
      </c>
      <c r="S23" s="16"/>
    </row>
    <row r="24" spans="1:19" x14ac:dyDescent="0.3">
      <c r="A24" s="16"/>
      <c r="B24" s="16"/>
      <c r="C24" s="16"/>
      <c r="D24" s="16"/>
      <c r="E24" s="16"/>
      <c r="F24" s="16"/>
      <c r="G24" s="16"/>
      <c r="H24" s="16"/>
      <c r="I24" s="18" t="str">
        <f t="shared" si="3"/>
        <v/>
      </c>
      <c r="J24" s="19" t="str">
        <f t="shared" si="4"/>
        <v/>
      </c>
      <c r="K24" s="19" t="str">
        <f>IF(I24="","",IF(I24&lt;=Скали!$B$1,"да","не"))</f>
        <v/>
      </c>
      <c r="L24" s="16"/>
      <c r="M24" s="16"/>
      <c r="N24" s="16"/>
      <c r="O24" s="16"/>
      <c r="P24" s="16"/>
      <c r="Q24" s="16"/>
      <c r="R24" s="18" t="str">
        <f t="shared" si="2"/>
        <v/>
      </c>
      <c r="S24" s="16"/>
    </row>
    <row r="25" spans="1:19" x14ac:dyDescent="0.3">
      <c r="A25" s="16"/>
      <c r="B25" s="16"/>
      <c r="C25" s="16"/>
      <c r="D25" s="16"/>
      <c r="E25" s="16"/>
      <c r="F25" s="16"/>
      <c r="G25" s="16"/>
      <c r="H25" s="16"/>
      <c r="I25" s="18" t="str">
        <f t="shared" si="3"/>
        <v/>
      </c>
      <c r="J25" s="19" t="str">
        <f t="shared" si="4"/>
        <v/>
      </c>
      <c r="K25" s="19" t="str">
        <f>IF(I25="","",IF(I25&lt;=Скали!$B$1,"да","не"))</f>
        <v/>
      </c>
      <c r="L25" s="16"/>
      <c r="M25" s="16"/>
      <c r="N25" s="16"/>
      <c r="O25" s="16"/>
      <c r="P25" s="16"/>
      <c r="Q25" s="16"/>
      <c r="R25" s="18" t="str">
        <f t="shared" si="2"/>
        <v/>
      </c>
      <c r="S25" s="16"/>
    </row>
    <row r="26" spans="1:19" x14ac:dyDescent="0.3">
      <c r="A26" s="16"/>
      <c r="B26" s="16"/>
      <c r="C26" s="16"/>
      <c r="D26" s="16"/>
      <c r="E26" s="16"/>
      <c r="F26" s="16"/>
      <c r="G26" s="16"/>
      <c r="H26" s="16"/>
      <c r="I26" s="18" t="str">
        <f t="shared" si="3"/>
        <v/>
      </c>
      <c r="J26" s="19" t="str">
        <f t="shared" si="4"/>
        <v/>
      </c>
      <c r="K26" s="19" t="str">
        <f>IF(I26="","",IF(I26&lt;=Скали!$B$1,"да","не"))</f>
        <v/>
      </c>
      <c r="L26" s="16"/>
      <c r="M26" s="16"/>
      <c r="N26" s="16"/>
      <c r="O26" s="16"/>
      <c r="P26" s="16"/>
      <c r="Q26" s="16"/>
      <c r="R26" s="18" t="str">
        <f t="shared" si="2"/>
        <v/>
      </c>
      <c r="S26" s="16"/>
    </row>
    <row r="27" spans="1:19" x14ac:dyDescent="0.3">
      <c r="A27" s="16"/>
      <c r="B27" s="16"/>
      <c r="C27" s="16"/>
      <c r="D27" s="16"/>
      <c r="E27" s="16"/>
      <c r="F27" s="16"/>
      <c r="G27" s="16"/>
      <c r="H27" s="16"/>
      <c r="I27" s="18" t="str">
        <f t="shared" si="3"/>
        <v/>
      </c>
      <c r="J27" s="19" t="str">
        <f t="shared" si="4"/>
        <v/>
      </c>
      <c r="K27" s="19" t="str">
        <f>IF(I27="","",IF(I27&lt;=Скали!$B$1,"да","не"))</f>
        <v/>
      </c>
      <c r="L27" s="16"/>
      <c r="M27" s="16"/>
      <c r="N27" s="16"/>
      <c r="O27" s="16"/>
      <c r="P27" s="16"/>
      <c r="Q27" s="16"/>
      <c r="R27" s="18" t="str">
        <f t="shared" si="2"/>
        <v/>
      </c>
      <c r="S27" s="16"/>
    </row>
    <row r="28" spans="1:19" x14ac:dyDescent="0.3">
      <c r="A28" s="16"/>
      <c r="B28" s="16"/>
      <c r="C28" s="16"/>
      <c r="D28" s="16"/>
      <c r="E28" s="16"/>
      <c r="F28" s="16"/>
      <c r="G28" s="16"/>
      <c r="H28" s="16"/>
      <c r="I28" s="18" t="str">
        <f t="shared" si="3"/>
        <v/>
      </c>
      <c r="J28" s="19" t="str">
        <f t="shared" si="4"/>
        <v/>
      </c>
      <c r="K28" s="19" t="str">
        <f>IF(I28="","",IF(I28&lt;=Скали!$B$1,"да","не"))</f>
        <v/>
      </c>
      <c r="L28" s="16"/>
      <c r="M28" s="16"/>
      <c r="N28" s="16"/>
      <c r="O28" s="16"/>
      <c r="P28" s="16"/>
      <c r="Q28" s="16"/>
      <c r="R28" s="18" t="str">
        <f t="shared" si="2"/>
        <v/>
      </c>
      <c r="S28" s="16"/>
    </row>
    <row r="29" spans="1:19" x14ac:dyDescent="0.3">
      <c r="A29" s="16"/>
      <c r="B29" s="16"/>
      <c r="C29" s="16"/>
      <c r="D29" s="16"/>
      <c r="E29" s="16"/>
      <c r="F29" s="16"/>
      <c r="G29" s="16"/>
      <c r="H29" s="16"/>
      <c r="I29" s="18" t="str">
        <f t="shared" si="3"/>
        <v/>
      </c>
      <c r="J29" s="19" t="str">
        <f t="shared" si="4"/>
        <v/>
      </c>
      <c r="K29" s="19" t="str">
        <f>IF(I29="","",IF(I29&lt;=Скали!$B$1,"да","не"))</f>
        <v/>
      </c>
      <c r="L29" s="16"/>
      <c r="M29" s="16"/>
      <c r="N29" s="16"/>
      <c r="O29" s="16"/>
      <c r="P29" s="16"/>
      <c r="Q29" s="16"/>
      <c r="R29" s="18" t="str">
        <f t="shared" si="2"/>
        <v/>
      </c>
      <c r="S29" s="16"/>
    </row>
    <row r="30" spans="1:19" x14ac:dyDescent="0.3">
      <c r="A30" s="16"/>
      <c r="B30" s="16"/>
      <c r="C30" s="16"/>
      <c r="D30" s="16"/>
      <c r="E30" s="16"/>
      <c r="F30" s="16"/>
      <c r="G30" s="16"/>
      <c r="H30" s="16"/>
      <c r="I30" s="18" t="str">
        <f t="shared" si="3"/>
        <v/>
      </c>
      <c r="J30" s="19" t="str">
        <f t="shared" si="4"/>
        <v/>
      </c>
      <c r="K30" s="19" t="str">
        <f>IF(I30="","",IF(I30&lt;=Скали!$B$1,"да","не"))</f>
        <v/>
      </c>
      <c r="L30" s="16"/>
      <c r="M30" s="16"/>
      <c r="N30" s="16"/>
      <c r="O30" s="16"/>
      <c r="P30" s="16"/>
      <c r="Q30" s="16"/>
      <c r="R30" s="18" t="str">
        <f t="shared" si="2"/>
        <v/>
      </c>
      <c r="S30" s="16"/>
    </row>
    <row r="31" spans="1:19" x14ac:dyDescent="0.3">
      <c r="A31" s="16"/>
      <c r="B31" s="16"/>
      <c r="C31" s="16"/>
      <c r="D31" s="16"/>
      <c r="E31" s="16"/>
      <c r="F31" s="16"/>
      <c r="G31" s="16"/>
      <c r="H31" s="16"/>
      <c r="I31" s="18" t="str">
        <f t="shared" si="3"/>
        <v/>
      </c>
      <c r="J31" s="19" t="str">
        <f t="shared" si="4"/>
        <v/>
      </c>
      <c r="K31" s="19" t="str">
        <f>IF(I31="","",IF(I31&lt;=Скали!$B$1,"да","не"))</f>
        <v/>
      </c>
      <c r="L31" s="16"/>
      <c r="M31" s="16"/>
      <c r="N31" s="16"/>
      <c r="O31" s="16"/>
      <c r="P31" s="16"/>
      <c r="Q31" s="16"/>
      <c r="R31" s="18" t="str">
        <f t="shared" si="2"/>
        <v/>
      </c>
      <c r="S31" s="16"/>
    </row>
    <row r="32" spans="1:19" x14ac:dyDescent="0.3">
      <c r="A32" s="16"/>
      <c r="B32" s="16"/>
      <c r="C32" s="16"/>
      <c r="D32" s="16"/>
      <c r="E32" s="16"/>
      <c r="F32" s="16"/>
      <c r="G32" s="16"/>
      <c r="H32" s="16"/>
      <c r="I32" s="18" t="str">
        <f t="shared" si="3"/>
        <v/>
      </c>
      <c r="J32" s="19" t="str">
        <f t="shared" si="4"/>
        <v/>
      </c>
      <c r="K32" s="19" t="str">
        <f>IF(I32="","",IF(I32&lt;=Скали!$B$1,"да","не"))</f>
        <v/>
      </c>
      <c r="L32" s="16"/>
      <c r="M32" s="16"/>
      <c r="N32" s="16"/>
      <c r="O32" s="16"/>
      <c r="P32" s="16"/>
      <c r="Q32" s="16"/>
      <c r="R32" s="18" t="str">
        <f t="shared" si="2"/>
        <v/>
      </c>
      <c r="S32" s="16"/>
    </row>
    <row r="33" spans="1:19" x14ac:dyDescent="0.3">
      <c r="A33" s="16"/>
      <c r="B33" s="16"/>
      <c r="C33" s="16"/>
      <c r="D33" s="16"/>
      <c r="E33" s="16"/>
      <c r="F33" s="16"/>
      <c r="G33" s="16"/>
      <c r="H33" s="16"/>
      <c r="I33" s="18" t="str">
        <f t="shared" si="3"/>
        <v/>
      </c>
      <c r="J33" s="19" t="str">
        <f t="shared" si="4"/>
        <v/>
      </c>
      <c r="K33" s="19" t="str">
        <f>IF(I33="","",IF(I33&lt;=Скали!$B$1,"да","не"))</f>
        <v/>
      </c>
      <c r="L33" s="16"/>
      <c r="M33" s="16"/>
      <c r="N33" s="16"/>
      <c r="O33" s="16"/>
      <c r="P33" s="16"/>
      <c r="Q33" s="16"/>
      <c r="R33" s="18" t="str">
        <f t="shared" si="2"/>
        <v/>
      </c>
      <c r="S33" s="16"/>
    </row>
    <row r="34" spans="1:19" x14ac:dyDescent="0.3">
      <c r="A34" s="16"/>
      <c r="B34" s="16"/>
      <c r="C34" s="16"/>
      <c r="D34" s="16"/>
      <c r="E34" s="16"/>
      <c r="F34" s="16"/>
      <c r="G34" s="16"/>
      <c r="H34" s="16"/>
      <c r="I34" s="18" t="str">
        <f t="shared" si="3"/>
        <v/>
      </c>
      <c r="J34" s="19" t="str">
        <f t="shared" si="4"/>
        <v/>
      </c>
      <c r="K34" s="19" t="str">
        <f>IF(I34="","",IF(I34&lt;=Скали!$B$1,"да","не"))</f>
        <v/>
      </c>
      <c r="L34" s="16"/>
      <c r="M34" s="16"/>
      <c r="N34" s="16"/>
      <c r="O34" s="16"/>
      <c r="P34" s="16"/>
      <c r="Q34" s="16"/>
      <c r="R34" s="18" t="str">
        <f t="shared" si="2"/>
        <v/>
      </c>
      <c r="S34" s="16"/>
    </row>
    <row r="35" spans="1:19" x14ac:dyDescent="0.3">
      <c r="A35" s="16"/>
      <c r="B35" s="16"/>
      <c r="C35" s="16"/>
      <c r="D35" s="16"/>
      <c r="E35" s="16"/>
      <c r="F35" s="16"/>
      <c r="G35" s="16"/>
      <c r="H35" s="16"/>
      <c r="I35" s="18" t="str">
        <f t="shared" si="3"/>
        <v/>
      </c>
      <c r="J35" s="19" t="str">
        <f t="shared" si="4"/>
        <v/>
      </c>
      <c r="K35" s="19" t="str">
        <f>IF(I35="","",IF(I35&lt;=Скали!$B$1,"да","не"))</f>
        <v/>
      </c>
      <c r="L35" s="16"/>
      <c r="M35" s="16"/>
      <c r="N35" s="16"/>
      <c r="O35" s="16"/>
      <c r="P35" s="16"/>
      <c r="Q35" s="16"/>
      <c r="R35" s="18" t="str">
        <f t="shared" si="2"/>
        <v/>
      </c>
      <c r="S35" s="16"/>
    </row>
    <row r="36" spans="1:19" x14ac:dyDescent="0.3">
      <c r="A36" s="16"/>
      <c r="B36" s="16"/>
      <c r="C36" s="16"/>
      <c r="D36" s="16"/>
      <c r="E36" s="16"/>
      <c r="F36" s="16"/>
      <c r="G36" s="16"/>
      <c r="H36" s="16"/>
      <c r="I36" s="18" t="str">
        <f t="shared" si="3"/>
        <v/>
      </c>
      <c r="J36" s="19" t="str">
        <f t="shared" si="4"/>
        <v/>
      </c>
      <c r="K36" s="19" t="str">
        <f>IF(I36="","",IF(I36&lt;=Скали!$B$1,"да","не"))</f>
        <v/>
      </c>
      <c r="L36" s="16"/>
      <c r="M36" s="16"/>
      <c r="N36" s="16"/>
      <c r="O36" s="16"/>
      <c r="P36" s="16"/>
      <c r="Q36" s="16"/>
      <c r="R36" s="18" t="str">
        <f t="shared" si="2"/>
        <v/>
      </c>
      <c r="S36" s="16"/>
    </row>
    <row r="37" spans="1:19" x14ac:dyDescent="0.3">
      <c r="A37" s="16"/>
      <c r="B37" s="16"/>
      <c r="C37" s="16"/>
      <c r="D37" s="16"/>
      <c r="E37" s="16"/>
      <c r="F37" s="16"/>
      <c r="G37" s="16"/>
      <c r="H37" s="16"/>
      <c r="I37" s="18" t="str">
        <f t="shared" si="3"/>
        <v/>
      </c>
      <c r="J37" s="19" t="str">
        <f t="shared" si="4"/>
        <v/>
      </c>
      <c r="K37" s="19" t="str">
        <f>IF(I37="","",IF(I37&lt;=Скали!$B$1,"да","не"))</f>
        <v/>
      </c>
      <c r="L37" s="16"/>
      <c r="M37" s="16"/>
      <c r="N37" s="16"/>
      <c r="O37" s="16"/>
      <c r="P37" s="16"/>
      <c r="Q37" s="16"/>
      <c r="R37" s="18" t="str">
        <f t="shared" si="2"/>
        <v/>
      </c>
      <c r="S37" s="16"/>
    </row>
    <row r="38" spans="1:19" x14ac:dyDescent="0.3">
      <c r="A38" s="16"/>
      <c r="B38" s="16"/>
      <c r="C38" s="16"/>
      <c r="D38" s="16"/>
      <c r="E38" s="16"/>
      <c r="F38" s="16"/>
      <c r="G38" s="16"/>
      <c r="H38" s="16"/>
      <c r="I38" s="18" t="str">
        <f t="shared" si="3"/>
        <v/>
      </c>
      <c r="J38" s="19" t="str">
        <f t="shared" si="4"/>
        <v/>
      </c>
      <c r="K38" s="19" t="str">
        <f>IF(I38="","",IF(I38&lt;=Скали!$B$1,"да","не"))</f>
        <v/>
      </c>
      <c r="L38" s="16"/>
      <c r="M38" s="16"/>
      <c r="N38" s="16"/>
      <c r="O38" s="16"/>
      <c r="P38" s="16"/>
      <c r="Q38" s="16"/>
      <c r="R38" s="18" t="str">
        <f t="shared" si="2"/>
        <v/>
      </c>
      <c r="S38" s="16"/>
    </row>
    <row r="39" spans="1:19" x14ac:dyDescent="0.3">
      <c r="A39" s="16"/>
      <c r="B39" s="16"/>
      <c r="C39" s="16"/>
      <c r="D39" s="16"/>
      <c r="E39" s="16"/>
      <c r="F39" s="16"/>
      <c r="G39" s="16"/>
      <c r="H39" s="16"/>
      <c r="I39" s="18" t="str">
        <f t="shared" si="3"/>
        <v/>
      </c>
      <c r="J39" s="19" t="str">
        <f t="shared" si="4"/>
        <v/>
      </c>
      <c r="K39" s="19" t="str">
        <f>IF(I39="","",IF(I39&lt;=Скали!$B$1,"да","не"))</f>
        <v/>
      </c>
      <c r="L39" s="16"/>
      <c r="M39" s="16"/>
      <c r="N39" s="16"/>
      <c r="O39" s="16"/>
      <c r="P39" s="16"/>
      <c r="Q39" s="16"/>
      <c r="R39" s="18" t="str">
        <f t="shared" si="2"/>
        <v/>
      </c>
      <c r="S39" s="16"/>
    </row>
    <row r="40" spans="1:19" x14ac:dyDescent="0.3">
      <c r="A40" s="16"/>
      <c r="B40" s="16"/>
      <c r="C40" s="16"/>
      <c r="D40" s="16"/>
      <c r="E40" s="16"/>
      <c r="F40" s="16"/>
      <c r="G40" s="16"/>
      <c r="H40" s="16"/>
      <c r="I40" s="18" t="str">
        <f t="shared" si="3"/>
        <v/>
      </c>
      <c r="J40" s="19" t="str">
        <f t="shared" si="4"/>
        <v/>
      </c>
      <c r="K40" s="19" t="str">
        <f>IF(I40="","",IF(I40&lt;=Скали!$B$1,"да","не"))</f>
        <v/>
      </c>
      <c r="L40" s="16"/>
      <c r="M40" s="16"/>
      <c r="N40" s="16"/>
      <c r="O40" s="16"/>
      <c r="P40" s="16"/>
      <c r="Q40" s="16"/>
      <c r="R40" s="18" t="str">
        <f t="shared" si="2"/>
        <v/>
      </c>
      <c r="S40" s="16"/>
    </row>
    <row r="41" spans="1:19" x14ac:dyDescent="0.3">
      <c r="A41" s="16"/>
      <c r="B41" s="16"/>
      <c r="C41" s="16"/>
      <c r="D41" s="16"/>
      <c r="E41" s="16"/>
      <c r="F41" s="16"/>
      <c r="G41" s="16"/>
      <c r="H41" s="16"/>
      <c r="I41" s="18" t="str">
        <f t="shared" si="3"/>
        <v/>
      </c>
      <c r="J41" s="19" t="str">
        <f t="shared" si="4"/>
        <v/>
      </c>
      <c r="K41" s="19" t="str">
        <f>IF(I41="","",IF(I41&lt;=Скали!$B$1,"да","не"))</f>
        <v/>
      </c>
      <c r="L41" s="16"/>
      <c r="M41" s="16"/>
      <c r="N41" s="16"/>
      <c r="O41" s="16"/>
      <c r="P41" s="16"/>
      <c r="Q41" s="16"/>
      <c r="R41" s="18" t="str">
        <f t="shared" si="2"/>
        <v/>
      </c>
      <c r="S41" s="16"/>
    </row>
    <row r="42" spans="1:19" x14ac:dyDescent="0.3">
      <c r="A42" s="16"/>
      <c r="B42" s="16"/>
      <c r="C42" s="16"/>
      <c r="D42" s="16"/>
      <c r="E42" s="16"/>
      <c r="F42" s="16"/>
      <c r="G42" s="16"/>
      <c r="H42" s="16"/>
      <c r="I42" s="18" t="str">
        <f t="shared" si="3"/>
        <v/>
      </c>
      <c r="J42" s="19" t="str">
        <f t="shared" si="4"/>
        <v/>
      </c>
      <c r="K42" s="19" t="str">
        <f>IF(I42="","",IF(I42&lt;=Скали!$B$1,"да","не"))</f>
        <v/>
      </c>
      <c r="L42" s="16"/>
      <c r="M42" s="16"/>
      <c r="N42" s="16"/>
      <c r="O42" s="16"/>
      <c r="P42" s="16"/>
      <c r="Q42" s="16"/>
      <c r="R42" s="18" t="str">
        <f t="shared" si="2"/>
        <v/>
      </c>
      <c r="S42" s="16"/>
    </row>
    <row r="43" spans="1:19" x14ac:dyDescent="0.3">
      <c r="A43" s="16"/>
      <c r="B43" s="16"/>
      <c r="C43" s="16"/>
      <c r="D43" s="16"/>
      <c r="E43" s="16"/>
      <c r="F43" s="16"/>
      <c r="G43" s="16"/>
      <c r="H43" s="16"/>
      <c r="I43" s="18" t="str">
        <f t="shared" si="3"/>
        <v/>
      </c>
      <c r="J43" s="19" t="str">
        <f t="shared" si="4"/>
        <v/>
      </c>
      <c r="K43" s="19" t="str">
        <f>IF(I43="","",IF(I43&lt;=Скали!$B$1,"да","не"))</f>
        <v/>
      </c>
      <c r="L43" s="16"/>
      <c r="M43" s="16"/>
      <c r="N43" s="16"/>
      <c r="O43" s="16"/>
      <c r="P43" s="16"/>
      <c r="Q43" s="16"/>
      <c r="R43" s="18" t="str">
        <f t="shared" si="2"/>
        <v/>
      </c>
      <c r="S43" s="16"/>
    </row>
    <row r="44" spans="1:19" x14ac:dyDescent="0.3">
      <c r="A44" s="16"/>
      <c r="B44" s="16"/>
      <c r="C44" s="16"/>
      <c r="D44" s="16"/>
      <c r="E44" s="16"/>
      <c r="F44" s="16"/>
      <c r="G44" s="16"/>
      <c r="H44" s="16"/>
      <c r="I44" s="18" t="str">
        <f t="shared" si="3"/>
        <v/>
      </c>
      <c r="J44" s="19" t="str">
        <f t="shared" si="4"/>
        <v/>
      </c>
      <c r="K44" s="19" t="str">
        <f>IF(I44="","",IF(I44&lt;=Скали!$B$1,"да","не"))</f>
        <v/>
      </c>
      <c r="L44" s="16"/>
      <c r="M44" s="16"/>
      <c r="N44" s="16"/>
      <c r="O44" s="16"/>
      <c r="P44" s="16"/>
      <c r="Q44" s="16"/>
      <c r="R44" s="18" t="str">
        <f t="shared" si="2"/>
        <v/>
      </c>
      <c r="S44" s="16"/>
    </row>
    <row r="45" spans="1:19" x14ac:dyDescent="0.3">
      <c r="A45" s="16"/>
      <c r="B45" s="16"/>
      <c r="C45" s="16"/>
      <c r="D45" s="16"/>
      <c r="E45" s="16"/>
      <c r="F45" s="16"/>
      <c r="G45" s="16"/>
      <c r="H45" s="16"/>
      <c r="I45" s="18" t="str">
        <f t="shared" si="3"/>
        <v/>
      </c>
      <c r="J45" s="19" t="str">
        <f t="shared" si="4"/>
        <v/>
      </c>
      <c r="K45" s="19" t="str">
        <f>IF(I45="","",IF(I45&lt;=Скали!$B$1,"да","не"))</f>
        <v/>
      </c>
      <c r="L45" s="16"/>
      <c r="M45" s="16"/>
      <c r="N45" s="16"/>
      <c r="O45" s="16"/>
      <c r="P45" s="16"/>
      <c r="Q45" s="16"/>
      <c r="R45" s="18" t="str">
        <f t="shared" si="2"/>
        <v/>
      </c>
      <c r="S45" s="16"/>
    </row>
    <row r="46" spans="1:19" x14ac:dyDescent="0.3">
      <c r="A46" s="16"/>
      <c r="B46" s="16"/>
      <c r="C46" s="16"/>
      <c r="D46" s="16"/>
      <c r="E46" s="16"/>
      <c r="F46" s="16"/>
      <c r="G46" s="16"/>
      <c r="H46" s="16"/>
      <c r="I46" s="18" t="str">
        <f t="shared" si="3"/>
        <v/>
      </c>
      <c r="J46" s="19" t="str">
        <f t="shared" si="4"/>
        <v/>
      </c>
      <c r="K46" s="19" t="str">
        <f>IF(I46="","",IF(I46&lt;=Скали!$B$1,"да","не"))</f>
        <v/>
      </c>
      <c r="L46" s="16"/>
      <c r="M46" s="16"/>
      <c r="N46" s="16"/>
      <c r="O46" s="16"/>
      <c r="P46" s="16"/>
      <c r="Q46" s="16"/>
      <c r="R46" s="18" t="str">
        <f t="shared" si="2"/>
        <v/>
      </c>
      <c r="S46" s="16"/>
    </row>
    <row r="47" spans="1:19" x14ac:dyDescent="0.3">
      <c r="A47" s="16"/>
      <c r="B47" s="16"/>
      <c r="C47" s="16"/>
      <c r="D47" s="16"/>
      <c r="E47" s="16"/>
      <c r="F47" s="16"/>
      <c r="G47" s="16"/>
      <c r="H47" s="16"/>
      <c r="I47" s="18" t="str">
        <f t="shared" si="3"/>
        <v/>
      </c>
      <c r="J47" s="19" t="str">
        <f t="shared" si="4"/>
        <v/>
      </c>
      <c r="K47" s="19" t="str">
        <f>IF(I47="","",IF(I47&lt;=Скали!$B$1,"да","не"))</f>
        <v/>
      </c>
      <c r="L47" s="16"/>
      <c r="M47" s="16"/>
      <c r="N47" s="16"/>
      <c r="O47" s="16"/>
      <c r="P47" s="16"/>
      <c r="Q47" s="16"/>
      <c r="R47" s="18" t="str">
        <f t="shared" si="2"/>
        <v/>
      </c>
      <c r="S47" s="16"/>
    </row>
    <row r="48" spans="1:19" x14ac:dyDescent="0.3">
      <c r="A48" s="16"/>
      <c r="B48" s="16"/>
      <c r="C48" s="16"/>
      <c r="D48" s="16"/>
      <c r="E48" s="16"/>
      <c r="F48" s="16"/>
      <c r="G48" s="16"/>
      <c r="H48" s="16"/>
      <c r="I48" s="18" t="str">
        <f t="shared" si="3"/>
        <v/>
      </c>
      <c r="J48" s="19" t="str">
        <f t="shared" si="4"/>
        <v/>
      </c>
      <c r="K48" s="19" t="str">
        <f>IF(I48="","",IF(I48&lt;=Скали!$B$1,"да","не"))</f>
        <v/>
      </c>
      <c r="L48" s="16"/>
      <c r="M48" s="16"/>
      <c r="N48" s="16"/>
      <c r="O48" s="16"/>
      <c r="P48" s="16"/>
      <c r="Q48" s="16"/>
      <c r="R48" s="18" t="str">
        <f t="shared" si="2"/>
        <v/>
      </c>
      <c r="S48" s="16"/>
    </row>
    <row r="49" spans="1:19" x14ac:dyDescent="0.3">
      <c r="A49" s="16"/>
      <c r="B49" s="16"/>
      <c r="C49" s="16"/>
      <c r="D49" s="16"/>
      <c r="E49" s="16"/>
      <c r="F49" s="16"/>
      <c r="G49" s="16"/>
      <c r="H49" s="16"/>
      <c r="I49" s="18" t="str">
        <f t="shared" si="3"/>
        <v/>
      </c>
      <c r="J49" s="19" t="str">
        <f t="shared" si="4"/>
        <v/>
      </c>
      <c r="K49" s="19" t="str">
        <f>IF(I49="","",IF(I49&lt;=Скали!$B$1,"да","не"))</f>
        <v/>
      </c>
      <c r="L49" s="16"/>
      <c r="M49" s="16"/>
      <c r="N49" s="16"/>
      <c r="O49" s="16"/>
      <c r="P49" s="16"/>
      <c r="Q49" s="16"/>
      <c r="R49" s="18" t="str">
        <f t="shared" si="2"/>
        <v/>
      </c>
      <c r="S49" s="16"/>
    </row>
    <row r="50" spans="1:19" x14ac:dyDescent="0.3">
      <c r="A50" s="16"/>
      <c r="B50" s="16"/>
      <c r="C50" s="16"/>
      <c r="D50" s="16"/>
      <c r="E50" s="16"/>
      <c r="F50" s="16"/>
      <c r="G50" s="16"/>
      <c r="H50" s="16"/>
      <c r="I50" s="18" t="str">
        <f t="shared" si="3"/>
        <v/>
      </c>
      <c r="J50" s="19" t="str">
        <f t="shared" si="4"/>
        <v/>
      </c>
      <c r="K50" s="19" t="str">
        <f>IF(I50="","",IF(I50&lt;=Скали!$B$1,"да","не"))</f>
        <v/>
      </c>
      <c r="L50" s="16"/>
      <c r="M50" s="16"/>
      <c r="N50" s="16"/>
      <c r="O50" s="16"/>
      <c r="P50" s="16"/>
      <c r="Q50" s="16"/>
      <c r="R50" s="18" t="str">
        <f t="shared" si="2"/>
        <v/>
      </c>
      <c r="S50" s="16"/>
    </row>
    <row r="51" spans="1:19" x14ac:dyDescent="0.3">
      <c r="A51" s="16"/>
      <c r="B51" s="16"/>
      <c r="C51" s="16"/>
      <c r="D51" s="16"/>
      <c r="E51" s="16"/>
      <c r="F51" s="16"/>
      <c r="G51" s="16"/>
      <c r="H51" s="16"/>
      <c r="I51" s="18" t="str">
        <f t="shared" si="3"/>
        <v/>
      </c>
      <c r="J51" s="19" t="str">
        <f t="shared" si="4"/>
        <v/>
      </c>
      <c r="K51" s="19" t="str">
        <f>IF(I51="","",IF(I51&lt;=Скали!$B$1,"да","не"))</f>
        <v/>
      </c>
      <c r="L51" s="16"/>
      <c r="M51" s="16"/>
      <c r="N51" s="16"/>
      <c r="O51" s="16"/>
      <c r="P51" s="16"/>
      <c r="Q51" s="16"/>
      <c r="R51" s="18" t="str">
        <f t="shared" si="2"/>
        <v/>
      </c>
      <c r="S51" s="16"/>
    </row>
    <row r="52" spans="1:19" x14ac:dyDescent="0.3">
      <c r="A52" s="16"/>
      <c r="B52" s="16"/>
      <c r="C52" s="16"/>
      <c r="D52" s="16"/>
      <c r="E52" s="16"/>
      <c r="F52" s="16"/>
      <c r="G52" s="16"/>
      <c r="H52" s="16"/>
      <c r="I52" s="18" t="str">
        <f t="shared" si="3"/>
        <v/>
      </c>
      <c r="J52" s="19" t="str">
        <f t="shared" si="4"/>
        <v/>
      </c>
      <c r="K52" s="19" t="str">
        <f>IF(I52="","",IF(I52&lt;=Скали!$B$1,"да","не"))</f>
        <v/>
      </c>
      <c r="L52" s="16"/>
      <c r="M52" s="16"/>
      <c r="N52" s="16"/>
      <c r="O52" s="16"/>
      <c r="P52" s="16"/>
      <c r="Q52" s="16"/>
      <c r="R52" s="18" t="str">
        <f t="shared" si="2"/>
        <v/>
      </c>
      <c r="S52" s="16"/>
    </row>
    <row r="53" spans="1:19" x14ac:dyDescent="0.3">
      <c r="A53" s="16"/>
      <c r="B53" s="16"/>
      <c r="C53" s="16"/>
      <c r="D53" s="16"/>
      <c r="E53" s="16"/>
      <c r="F53" s="16"/>
      <c r="G53" s="16"/>
      <c r="H53" s="16"/>
      <c r="I53" s="18" t="str">
        <f t="shared" si="3"/>
        <v/>
      </c>
      <c r="J53" s="19" t="str">
        <f t="shared" si="4"/>
        <v/>
      </c>
      <c r="K53" s="19" t="str">
        <f>IF(I53="","",IF(I53&lt;=Скали!$B$1,"да","не"))</f>
        <v/>
      </c>
      <c r="L53" s="16"/>
      <c r="M53" s="16"/>
      <c r="N53" s="16"/>
      <c r="O53" s="16"/>
      <c r="P53" s="16"/>
      <c r="Q53" s="16"/>
      <c r="R53" s="18" t="str">
        <f t="shared" si="2"/>
        <v/>
      </c>
      <c r="S53" s="16"/>
    </row>
    <row r="54" spans="1:19" x14ac:dyDescent="0.3">
      <c r="A54" s="16"/>
      <c r="B54" s="16"/>
      <c r="C54" s="16"/>
      <c r="D54" s="16"/>
      <c r="E54" s="16"/>
      <c r="F54" s="16"/>
      <c r="G54" s="16"/>
      <c r="H54" s="16"/>
      <c r="I54" s="18" t="str">
        <f t="shared" si="3"/>
        <v/>
      </c>
      <c r="J54" s="19" t="str">
        <f t="shared" si="4"/>
        <v/>
      </c>
      <c r="K54" s="19" t="str">
        <f>IF(I54="","",IF(I54&lt;=Скали!$B$1,"да","не"))</f>
        <v/>
      </c>
      <c r="L54" s="16"/>
      <c r="M54" s="16"/>
      <c r="N54" s="16"/>
      <c r="O54" s="16"/>
      <c r="P54" s="16"/>
      <c r="Q54" s="16"/>
      <c r="R54" s="18" t="str">
        <f t="shared" si="2"/>
        <v/>
      </c>
      <c r="S54" s="16"/>
    </row>
    <row r="55" spans="1:19" x14ac:dyDescent="0.3">
      <c r="A55" s="16"/>
      <c r="B55" s="16"/>
      <c r="C55" s="16"/>
      <c r="D55" s="16"/>
      <c r="E55" s="16"/>
      <c r="F55" s="16"/>
      <c r="G55" s="16"/>
      <c r="H55" s="16"/>
      <c r="I55" s="18" t="str">
        <f t="shared" si="3"/>
        <v/>
      </c>
      <c r="J55" s="19" t="str">
        <f t="shared" si="4"/>
        <v/>
      </c>
      <c r="K55" s="19" t="str">
        <f>IF(I55="","",IF(I55&lt;=Скали!$B$1,"да","не"))</f>
        <v/>
      </c>
      <c r="L55" s="16"/>
      <c r="M55" s="16"/>
      <c r="N55" s="16"/>
      <c r="O55" s="16"/>
      <c r="P55" s="16"/>
      <c r="Q55" s="16"/>
      <c r="R55" s="18" t="str">
        <f t="shared" si="2"/>
        <v/>
      </c>
      <c r="S55" s="16"/>
    </row>
    <row r="56" spans="1:19" x14ac:dyDescent="0.3">
      <c r="A56" s="16"/>
      <c r="B56" s="16"/>
      <c r="C56" s="16"/>
      <c r="D56" s="16"/>
      <c r="E56" s="16"/>
      <c r="F56" s="16"/>
      <c r="G56" s="16"/>
      <c r="H56" s="16"/>
      <c r="I56" s="18" t="str">
        <f t="shared" si="3"/>
        <v/>
      </c>
      <c r="J56" s="19" t="str">
        <f t="shared" si="4"/>
        <v/>
      </c>
      <c r="K56" s="19" t="str">
        <f>IF(I56="","",IF(I56&lt;=Скали!$B$1,"да","не"))</f>
        <v/>
      </c>
      <c r="L56" s="16"/>
      <c r="M56" s="16"/>
      <c r="N56" s="16"/>
      <c r="O56" s="16"/>
      <c r="P56" s="16"/>
      <c r="Q56" s="16"/>
      <c r="R56" s="18" t="str">
        <f t="shared" si="2"/>
        <v/>
      </c>
      <c r="S56" s="16"/>
    </row>
    <row r="57" spans="1:19" x14ac:dyDescent="0.3">
      <c r="A57" s="16"/>
      <c r="B57" s="16"/>
      <c r="C57" s="16"/>
      <c r="D57" s="16"/>
      <c r="E57" s="16"/>
      <c r="F57" s="16"/>
      <c r="G57" s="16"/>
      <c r="H57" s="16"/>
      <c r="I57" s="18" t="str">
        <f t="shared" si="3"/>
        <v/>
      </c>
      <c r="J57" s="19" t="str">
        <f t="shared" si="4"/>
        <v/>
      </c>
      <c r="K57" s="19" t="str">
        <f>IF(I57="","",IF(I57&lt;=Скали!$B$1,"да","не"))</f>
        <v/>
      </c>
      <c r="L57" s="16"/>
      <c r="M57" s="16"/>
      <c r="N57" s="16"/>
      <c r="O57" s="16"/>
      <c r="P57" s="16"/>
      <c r="Q57" s="16"/>
      <c r="R57" s="18" t="str">
        <f t="shared" si="2"/>
        <v/>
      </c>
      <c r="S57" s="16"/>
    </row>
    <row r="58" spans="1:19" x14ac:dyDescent="0.3">
      <c r="A58" s="16"/>
      <c r="B58" s="16"/>
      <c r="C58" s="16"/>
      <c r="D58" s="16"/>
      <c r="E58" s="16"/>
      <c r="F58" s="16"/>
      <c r="G58" s="16"/>
      <c r="H58" s="16"/>
      <c r="I58" s="18" t="str">
        <f t="shared" si="3"/>
        <v/>
      </c>
      <c r="J58" s="19" t="str">
        <f t="shared" si="4"/>
        <v/>
      </c>
      <c r="K58" s="19" t="str">
        <f>IF(I58="","",IF(I58&lt;=Скали!$B$1,"да","не"))</f>
        <v/>
      </c>
      <c r="L58" s="16"/>
      <c r="M58" s="16"/>
      <c r="N58" s="16"/>
      <c r="O58" s="16"/>
      <c r="P58" s="16"/>
      <c r="Q58" s="16"/>
      <c r="R58" s="18" t="str">
        <f t="shared" si="2"/>
        <v/>
      </c>
      <c r="S58" s="16"/>
    </row>
    <row r="59" spans="1:19" x14ac:dyDescent="0.3">
      <c r="A59" s="16"/>
      <c r="B59" s="16"/>
      <c r="C59" s="16"/>
      <c r="D59" s="16"/>
      <c r="E59" s="16"/>
      <c r="F59" s="16"/>
      <c r="G59" s="16"/>
      <c r="H59" s="16"/>
      <c r="I59" s="18" t="str">
        <f t="shared" si="3"/>
        <v/>
      </c>
      <c r="J59" s="19" t="str">
        <f t="shared" si="4"/>
        <v/>
      </c>
      <c r="K59" s="19" t="str">
        <f>IF(I59="","",IF(I59&lt;=Скали!$B$1,"да","не"))</f>
        <v/>
      </c>
      <c r="L59" s="16"/>
      <c r="M59" s="16"/>
      <c r="N59" s="16"/>
      <c r="O59" s="16"/>
      <c r="P59" s="16"/>
      <c r="Q59" s="16"/>
      <c r="R59" s="18" t="str">
        <f t="shared" si="2"/>
        <v/>
      </c>
      <c r="S59" s="16"/>
    </row>
    <row r="60" spans="1:19" x14ac:dyDescent="0.3">
      <c r="A60" s="16"/>
      <c r="B60" s="16"/>
      <c r="C60" s="16"/>
      <c r="D60" s="16"/>
      <c r="E60" s="16"/>
      <c r="F60" s="16"/>
      <c r="G60" s="16"/>
      <c r="H60" s="16"/>
      <c r="I60" s="18" t="str">
        <f t="shared" si="3"/>
        <v/>
      </c>
      <c r="J60" s="19" t="str">
        <f t="shared" si="4"/>
        <v/>
      </c>
      <c r="K60" s="19" t="str">
        <f>IF(I60="","",IF(I60&lt;=Скали!$B$1,"да","не"))</f>
        <v/>
      </c>
      <c r="L60" s="16"/>
      <c r="M60" s="16"/>
      <c r="N60" s="16"/>
      <c r="O60" s="16"/>
      <c r="P60" s="16"/>
      <c r="Q60" s="16"/>
      <c r="R60" s="18" t="str">
        <f t="shared" si="2"/>
        <v/>
      </c>
      <c r="S60" s="16"/>
    </row>
    <row r="61" spans="1:19" x14ac:dyDescent="0.3">
      <c r="A61" s="16"/>
      <c r="B61" s="16"/>
      <c r="C61" s="16"/>
      <c r="D61" s="16"/>
      <c r="E61" s="16"/>
      <c r="F61" s="16"/>
      <c r="G61" s="16"/>
      <c r="H61" s="16"/>
      <c r="I61" s="18" t="str">
        <f t="shared" si="3"/>
        <v/>
      </c>
      <c r="J61" s="19" t="str">
        <f t="shared" si="4"/>
        <v/>
      </c>
      <c r="K61" s="19" t="str">
        <f>IF(I61="","",IF(I61&lt;=Скали!$B$1,"да","не"))</f>
        <v/>
      </c>
      <c r="L61" s="16"/>
      <c r="M61" s="16"/>
      <c r="N61" s="16"/>
      <c r="O61" s="16"/>
      <c r="P61" s="16"/>
      <c r="Q61" s="16"/>
      <c r="R61" s="18" t="str">
        <f t="shared" si="2"/>
        <v/>
      </c>
      <c r="S61" s="16"/>
    </row>
    <row r="62" spans="1:19" x14ac:dyDescent="0.3">
      <c r="A62" s="16"/>
      <c r="B62" s="16"/>
      <c r="C62" s="16"/>
      <c r="D62" s="16"/>
      <c r="E62" s="16"/>
      <c r="F62" s="16"/>
      <c r="G62" s="16"/>
      <c r="H62" s="16"/>
      <c r="I62" s="18" t="str">
        <f t="shared" si="3"/>
        <v/>
      </c>
      <c r="J62" s="19" t="str">
        <f t="shared" si="4"/>
        <v/>
      </c>
      <c r="K62" s="19" t="str">
        <f>IF(I62="","",IF(I62&lt;=Скали!$B$1,"да","не"))</f>
        <v/>
      </c>
      <c r="L62" s="16"/>
      <c r="M62" s="16"/>
      <c r="N62" s="16"/>
      <c r="O62" s="16"/>
      <c r="P62" s="16"/>
      <c r="Q62" s="16"/>
      <c r="R62" s="18" t="str">
        <f t="shared" si="2"/>
        <v/>
      </c>
      <c r="S62" s="16"/>
    </row>
    <row r="63" spans="1:19" x14ac:dyDescent="0.3">
      <c r="A63" s="16"/>
      <c r="B63" s="16"/>
      <c r="C63" s="16"/>
      <c r="D63" s="16"/>
      <c r="E63" s="16"/>
      <c r="F63" s="16"/>
      <c r="G63" s="16"/>
      <c r="H63" s="16"/>
      <c r="I63" s="18" t="str">
        <f t="shared" si="3"/>
        <v/>
      </c>
      <c r="J63" s="19" t="str">
        <f t="shared" si="4"/>
        <v/>
      </c>
      <c r="K63" s="19" t="str">
        <f>IF(I63="","",IF(I63&lt;=Скали!$B$1,"да","не"))</f>
        <v/>
      </c>
      <c r="L63" s="16"/>
      <c r="M63" s="16"/>
      <c r="N63" s="16"/>
      <c r="O63" s="16"/>
      <c r="P63" s="16"/>
      <c r="Q63" s="16"/>
      <c r="R63" s="18" t="str">
        <f t="shared" si="2"/>
        <v/>
      </c>
      <c r="S63" s="16"/>
    </row>
    <row r="64" spans="1:19" x14ac:dyDescent="0.3">
      <c r="A64" s="16"/>
      <c r="B64" s="16"/>
      <c r="C64" s="16"/>
      <c r="D64" s="16"/>
      <c r="E64" s="16"/>
      <c r="F64" s="16"/>
      <c r="G64" s="16"/>
      <c r="H64" s="16"/>
      <c r="I64" s="18" t="str">
        <f t="shared" si="3"/>
        <v/>
      </c>
      <c r="J64" s="19" t="str">
        <f t="shared" si="4"/>
        <v/>
      </c>
      <c r="K64" s="19" t="str">
        <f>IF(I64="","",IF(I64&lt;=Скали!$B$1,"да","не"))</f>
        <v/>
      </c>
      <c r="L64" s="16"/>
      <c r="M64" s="16"/>
      <c r="N64" s="16"/>
      <c r="O64" s="16"/>
      <c r="P64" s="16"/>
      <c r="Q64" s="16"/>
      <c r="R64" s="18" t="str">
        <f t="shared" si="2"/>
        <v/>
      </c>
      <c r="S64" s="16"/>
    </row>
    <row r="65" spans="1:19" x14ac:dyDescent="0.3">
      <c r="A65" s="16"/>
      <c r="B65" s="16"/>
      <c r="C65" s="16"/>
      <c r="D65" s="16"/>
      <c r="E65" s="16"/>
      <c r="F65" s="16"/>
      <c r="G65" s="16"/>
      <c r="H65" s="16"/>
      <c r="I65" s="18" t="str">
        <f t="shared" si="3"/>
        <v/>
      </c>
      <c r="J65" s="19" t="str">
        <f t="shared" si="4"/>
        <v/>
      </c>
      <c r="K65" s="19" t="str">
        <f>IF(I65="","",IF(I65&lt;=Скали!$B$1,"да","не"))</f>
        <v/>
      </c>
      <c r="L65" s="16"/>
      <c r="M65" s="16"/>
      <c r="N65" s="16"/>
      <c r="O65" s="16"/>
      <c r="P65" s="16"/>
      <c r="Q65" s="16"/>
      <c r="R65" s="18" t="str">
        <f t="shared" si="2"/>
        <v/>
      </c>
      <c r="S65" s="16"/>
    </row>
    <row r="66" spans="1:19" x14ac:dyDescent="0.3">
      <c r="A66" s="16"/>
      <c r="B66" s="16"/>
      <c r="C66" s="16"/>
      <c r="D66" s="16"/>
      <c r="E66" s="16"/>
      <c r="F66" s="16"/>
      <c r="G66" s="16"/>
      <c r="H66" s="16"/>
      <c r="I66" s="18" t="str">
        <f t="shared" ref="I66:I129" si="5">IF(OR(G66="",H66=""),"",G66*H66)</f>
        <v/>
      </c>
      <c r="J66" s="19" t="str">
        <f t="shared" ref="J66:J129" si="6">IF(I66="","",IF(I66&lt;=4,"нисък",IF(I66&lt;=9,"умерен",IF(I66&lt;=15,"висок","критичен"))))</f>
        <v/>
      </c>
      <c r="K66" s="19" t="str">
        <f>IF(I66="","",IF(I66&lt;=Скали!$B$1,"да","не"))</f>
        <v/>
      </c>
      <c r="L66" s="16"/>
      <c r="M66" s="16"/>
      <c r="N66" s="16"/>
      <c r="O66" s="16"/>
      <c r="P66" s="16"/>
      <c r="Q66" s="16"/>
      <c r="R66" s="18" t="str">
        <f t="shared" ref="R66:R129" si="7">IF(OR(P66="",Q66=""),"",P66*Q66)</f>
        <v/>
      </c>
      <c r="S66" s="16"/>
    </row>
    <row r="67" spans="1:19" x14ac:dyDescent="0.3">
      <c r="A67" s="16"/>
      <c r="B67" s="16"/>
      <c r="C67" s="16"/>
      <c r="D67" s="16"/>
      <c r="E67" s="16"/>
      <c r="F67" s="16"/>
      <c r="G67" s="16"/>
      <c r="H67" s="16"/>
      <c r="I67" s="18" t="str">
        <f t="shared" si="5"/>
        <v/>
      </c>
      <c r="J67" s="19" t="str">
        <f t="shared" si="6"/>
        <v/>
      </c>
      <c r="K67" s="19" t="str">
        <f>IF(I67="","",IF(I67&lt;=Скали!$B$1,"да","не"))</f>
        <v/>
      </c>
      <c r="L67" s="16"/>
      <c r="M67" s="16"/>
      <c r="N67" s="16"/>
      <c r="O67" s="16"/>
      <c r="P67" s="16"/>
      <c r="Q67" s="16"/>
      <c r="R67" s="18" t="str">
        <f t="shared" si="7"/>
        <v/>
      </c>
      <c r="S67" s="16"/>
    </row>
    <row r="68" spans="1:19" x14ac:dyDescent="0.3">
      <c r="A68" s="16"/>
      <c r="B68" s="16"/>
      <c r="C68" s="16"/>
      <c r="D68" s="16"/>
      <c r="E68" s="16"/>
      <c r="F68" s="16"/>
      <c r="G68" s="16"/>
      <c r="H68" s="16"/>
      <c r="I68" s="18" t="str">
        <f t="shared" si="5"/>
        <v/>
      </c>
      <c r="J68" s="19" t="str">
        <f t="shared" si="6"/>
        <v/>
      </c>
      <c r="K68" s="19" t="str">
        <f>IF(I68="","",IF(I68&lt;=Скали!$B$1,"да","не"))</f>
        <v/>
      </c>
      <c r="L68" s="16"/>
      <c r="M68" s="16"/>
      <c r="N68" s="16"/>
      <c r="O68" s="16"/>
      <c r="P68" s="16"/>
      <c r="Q68" s="16"/>
      <c r="R68" s="18" t="str">
        <f t="shared" si="7"/>
        <v/>
      </c>
      <c r="S68" s="16"/>
    </row>
    <row r="69" spans="1:19" x14ac:dyDescent="0.3">
      <c r="A69" s="16"/>
      <c r="B69" s="16"/>
      <c r="C69" s="16"/>
      <c r="D69" s="16"/>
      <c r="E69" s="16"/>
      <c r="F69" s="16"/>
      <c r="G69" s="16"/>
      <c r="H69" s="16"/>
      <c r="I69" s="18" t="str">
        <f t="shared" si="5"/>
        <v/>
      </c>
      <c r="J69" s="19" t="str">
        <f t="shared" si="6"/>
        <v/>
      </c>
      <c r="K69" s="19" t="str">
        <f>IF(I69="","",IF(I69&lt;=Скали!$B$1,"да","не"))</f>
        <v/>
      </c>
      <c r="L69" s="16"/>
      <c r="M69" s="16"/>
      <c r="N69" s="16"/>
      <c r="O69" s="16"/>
      <c r="P69" s="16"/>
      <c r="Q69" s="16"/>
      <c r="R69" s="18" t="str">
        <f t="shared" si="7"/>
        <v/>
      </c>
      <c r="S69" s="16"/>
    </row>
    <row r="70" spans="1:19" x14ac:dyDescent="0.3">
      <c r="A70" s="16"/>
      <c r="B70" s="16"/>
      <c r="C70" s="16"/>
      <c r="D70" s="16"/>
      <c r="E70" s="16"/>
      <c r="F70" s="16"/>
      <c r="G70" s="16"/>
      <c r="H70" s="16"/>
      <c r="I70" s="18" t="str">
        <f t="shared" si="5"/>
        <v/>
      </c>
      <c r="J70" s="19" t="str">
        <f t="shared" si="6"/>
        <v/>
      </c>
      <c r="K70" s="19" t="str">
        <f>IF(I70="","",IF(I70&lt;=Скали!$B$1,"да","не"))</f>
        <v/>
      </c>
      <c r="L70" s="16"/>
      <c r="M70" s="16"/>
      <c r="N70" s="16"/>
      <c r="O70" s="16"/>
      <c r="P70" s="16"/>
      <c r="Q70" s="16"/>
      <c r="R70" s="18" t="str">
        <f t="shared" si="7"/>
        <v/>
      </c>
      <c r="S70" s="16"/>
    </row>
    <row r="71" spans="1:19" x14ac:dyDescent="0.3">
      <c r="A71" s="16"/>
      <c r="B71" s="16"/>
      <c r="C71" s="16"/>
      <c r="D71" s="16"/>
      <c r="E71" s="16"/>
      <c r="F71" s="16"/>
      <c r="G71" s="16"/>
      <c r="H71" s="16"/>
      <c r="I71" s="18" t="str">
        <f t="shared" si="5"/>
        <v/>
      </c>
      <c r="J71" s="19" t="str">
        <f t="shared" si="6"/>
        <v/>
      </c>
      <c r="K71" s="19" t="str">
        <f>IF(I71="","",IF(I71&lt;=Скали!$B$1,"да","не"))</f>
        <v/>
      </c>
      <c r="L71" s="16"/>
      <c r="M71" s="16"/>
      <c r="N71" s="16"/>
      <c r="O71" s="16"/>
      <c r="P71" s="16"/>
      <c r="Q71" s="16"/>
      <c r="R71" s="18" t="str">
        <f t="shared" si="7"/>
        <v/>
      </c>
      <c r="S71" s="16"/>
    </row>
    <row r="72" spans="1:19" x14ac:dyDescent="0.3">
      <c r="A72" s="16"/>
      <c r="B72" s="16"/>
      <c r="C72" s="16"/>
      <c r="D72" s="16"/>
      <c r="E72" s="16"/>
      <c r="F72" s="16"/>
      <c r="G72" s="16"/>
      <c r="H72" s="16"/>
      <c r="I72" s="18" t="str">
        <f t="shared" si="5"/>
        <v/>
      </c>
      <c r="J72" s="19" t="str">
        <f t="shared" si="6"/>
        <v/>
      </c>
      <c r="K72" s="19" t="str">
        <f>IF(I72="","",IF(I72&lt;=Скали!$B$1,"да","не"))</f>
        <v/>
      </c>
      <c r="L72" s="16"/>
      <c r="M72" s="16"/>
      <c r="N72" s="16"/>
      <c r="O72" s="16"/>
      <c r="P72" s="16"/>
      <c r="Q72" s="16"/>
      <c r="R72" s="18" t="str">
        <f t="shared" si="7"/>
        <v/>
      </c>
      <c r="S72" s="16"/>
    </row>
    <row r="73" spans="1:19" x14ac:dyDescent="0.3">
      <c r="A73" s="16"/>
      <c r="B73" s="16"/>
      <c r="C73" s="16"/>
      <c r="D73" s="16"/>
      <c r="E73" s="16"/>
      <c r="F73" s="16"/>
      <c r="G73" s="16"/>
      <c r="H73" s="16"/>
      <c r="I73" s="18" t="str">
        <f t="shared" si="5"/>
        <v/>
      </c>
      <c r="J73" s="19" t="str">
        <f t="shared" si="6"/>
        <v/>
      </c>
      <c r="K73" s="19" t="str">
        <f>IF(I73="","",IF(I73&lt;=Скали!$B$1,"да","не"))</f>
        <v/>
      </c>
      <c r="L73" s="16"/>
      <c r="M73" s="16"/>
      <c r="N73" s="16"/>
      <c r="O73" s="16"/>
      <c r="P73" s="16"/>
      <c r="Q73" s="16"/>
      <c r="R73" s="18" t="str">
        <f t="shared" si="7"/>
        <v/>
      </c>
      <c r="S73" s="16"/>
    </row>
    <row r="74" spans="1:19" x14ac:dyDescent="0.3">
      <c r="A74" s="16"/>
      <c r="B74" s="16"/>
      <c r="C74" s="16"/>
      <c r="D74" s="16"/>
      <c r="E74" s="16"/>
      <c r="F74" s="16"/>
      <c r="G74" s="16"/>
      <c r="H74" s="16"/>
      <c r="I74" s="18" t="str">
        <f t="shared" si="5"/>
        <v/>
      </c>
      <c r="J74" s="19" t="str">
        <f t="shared" si="6"/>
        <v/>
      </c>
      <c r="K74" s="19" t="str">
        <f>IF(I74="","",IF(I74&lt;=Скали!$B$1,"да","не"))</f>
        <v/>
      </c>
      <c r="L74" s="16"/>
      <c r="M74" s="16"/>
      <c r="N74" s="16"/>
      <c r="O74" s="16"/>
      <c r="P74" s="16"/>
      <c r="Q74" s="16"/>
      <c r="R74" s="18" t="str">
        <f t="shared" si="7"/>
        <v/>
      </c>
      <c r="S74" s="16"/>
    </row>
    <row r="75" spans="1:19" x14ac:dyDescent="0.3">
      <c r="A75" s="16"/>
      <c r="B75" s="16"/>
      <c r="C75" s="16"/>
      <c r="D75" s="16"/>
      <c r="E75" s="16"/>
      <c r="F75" s="16"/>
      <c r="G75" s="16"/>
      <c r="H75" s="16"/>
      <c r="I75" s="18" t="str">
        <f t="shared" si="5"/>
        <v/>
      </c>
      <c r="J75" s="19" t="str">
        <f t="shared" si="6"/>
        <v/>
      </c>
      <c r="K75" s="19" t="str">
        <f>IF(I75="","",IF(I75&lt;=Скали!$B$1,"да","не"))</f>
        <v/>
      </c>
      <c r="L75" s="16"/>
      <c r="M75" s="16"/>
      <c r="N75" s="16"/>
      <c r="O75" s="16"/>
      <c r="P75" s="16"/>
      <c r="Q75" s="16"/>
      <c r="R75" s="18" t="str">
        <f t="shared" si="7"/>
        <v/>
      </c>
      <c r="S75" s="16"/>
    </row>
    <row r="76" spans="1:19" x14ac:dyDescent="0.3">
      <c r="A76" s="16"/>
      <c r="B76" s="16"/>
      <c r="C76" s="16"/>
      <c r="D76" s="16"/>
      <c r="E76" s="16"/>
      <c r="F76" s="16"/>
      <c r="G76" s="16"/>
      <c r="H76" s="16"/>
      <c r="I76" s="18" t="str">
        <f t="shared" si="5"/>
        <v/>
      </c>
      <c r="J76" s="19" t="str">
        <f t="shared" si="6"/>
        <v/>
      </c>
      <c r="K76" s="19" t="str">
        <f>IF(I76="","",IF(I76&lt;=Скали!$B$1,"да","не"))</f>
        <v/>
      </c>
      <c r="L76" s="16"/>
      <c r="M76" s="16"/>
      <c r="N76" s="16"/>
      <c r="O76" s="16"/>
      <c r="P76" s="16"/>
      <c r="Q76" s="16"/>
      <c r="R76" s="18" t="str">
        <f t="shared" si="7"/>
        <v/>
      </c>
      <c r="S76" s="16"/>
    </row>
    <row r="77" spans="1:19" x14ac:dyDescent="0.3">
      <c r="A77" s="16"/>
      <c r="B77" s="16"/>
      <c r="C77" s="16"/>
      <c r="D77" s="16"/>
      <c r="E77" s="16"/>
      <c r="F77" s="16"/>
      <c r="G77" s="16"/>
      <c r="H77" s="16"/>
      <c r="I77" s="18" t="str">
        <f t="shared" si="5"/>
        <v/>
      </c>
      <c r="J77" s="19" t="str">
        <f t="shared" si="6"/>
        <v/>
      </c>
      <c r="K77" s="19" t="str">
        <f>IF(I77="","",IF(I77&lt;=Скали!$B$1,"да","не"))</f>
        <v/>
      </c>
      <c r="L77" s="16"/>
      <c r="M77" s="16"/>
      <c r="N77" s="16"/>
      <c r="O77" s="16"/>
      <c r="P77" s="16"/>
      <c r="Q77" s="16"/>
      <c r="R77" s="18" t="str">
        <f t="shared" si="7"/>
        <v/>
      </c>
      <c r="S77" s="16"/>
    </row>
    <row r="78" spans="1:19" x14ac:dyDescent="0.3">
      <c r="A78" s="16"/>
      <c r="B78" s="16"/>
      <c r="C78" s="16"/>
      <c r="D78" s="16"/>
      <c r="E78" s="16"/>
      <c r="F78" s="16"/>
      <c r="G78" s="16"/>
      <c r="H78" s="16"/>
      <c r="I78" s="18" t="str">
        <f t="shared" si="5"/>
        <v/>
      </c>
      <c r="J78" s="19" t="str">
        <f t="shared" si="6"/>
        <v/>
      </c>
      <c r="K78" s="19" t="str">
        <f>IF(I78="","",IF(I78&lt;=Скали!$B$1,"да","не"))</f>
        <v/>
      </c>
      <c r="L78" s="16"/>
      <c r="M78" s="16"/>
      <c r="N78" s="16"/>
      <c r="O78" s="16"/>
      <c r="P78" s="16"/>
      <c r="Q78" s="16"/>
      <c r="R78" s="18" t="str">
        <f t="shared" si="7"/>
        <v/>
      </c>
      <c r="S78" s="16"/>
    </row>
    <row r="79" spans="1:19" x14ac:dyDescent="0.3">
      <c r="A79" s="16"/>
      <c r="B79" s="16"/>
      <c r="C79" s="16"/>
      <c r="D79" s="16"/>
      <c r="E79" s="16"/>
      <c r="F79" s="16"/>
      <c r="G79" s="16"/>
      <c r="H79" s="16"/>
      <c r="I79" s="18" t="str">
        <f t="shared" si="5"/>
        <v/>
      </c>
      <c r="J79" s="19" t="str">
        <f t="shared" si="6"/>
        <v/>
      </c>
      <c r="K79" s="19" t="str">
        <f>IF(I79="","",IF(I79&lt;=Скали!$B$1,"да","не"))</f>
        <v/>
      </c>
      <c r="L79" s="16"/>
      <c r="M79" s="16"/>
      <c r="N79" s="16"/>
      <c r="O79" s="16"/>
      <c r="P79" s="16"/>
      <c r="Q79" s="16"/>
      <c r="R79" s="18" t="str">
        <f t="shared" si="7"/>
        <v/>
      </c>
      <c r="S79" s="16"/>
    </row>
    <row r="80" spans="1:19" x14ac:dyDescent="0.3">
      <c r="A80" s="16"/>
      <c r="B80" s="16"/>
      <c r="C80" s="16"/>
      <c r="D80" s="16"/>
      <c r="E80" s="16"/>
      <c r="F80" s="16"/>
      <c r="G80" s="16"/>
      <c r="H80" s="16"/>
      <c r="I80" s="18" t="str">
        <f t="shared" si="5"/>
        <v/>
      </c>
      <c r="J80" s="19" t="str">
        <f t="shared" si="6"/>
        <v/>
      </c>
      <c r="K80" s="19" t="str">
        <f>IF(I80="","",IF(I80&lt;=Скали!$B$1,"да","не"))</f>
        <v/>
      </c>
      <c r="L80" s="16"/>
      <c r="M80" s="16"/>
      <c r="N80" s="16"/>
      <c r="O80" s="16"/>
      <c r="P80" s="16"/>
      <c r="Q80" s="16"/>
      <c r="R80" s="18" t="str">
        <f t="shared" si="7"/>
        <v/>
      </c>
      <c r="S80" s="16"/>
    </row>
    <row r="81" spans="1:19" x14ac:dyDescent="0.3">
      <c r="A81" s="16"/>
      <c r="B81" s="16"/>
      <c r="C81" s="16"/>
      <c r="D81" s="16"/>
      <c r="E81" s="16"/>
      <c r="F81" s="16"/>
      <c r="G81" s="16"/>
      <c r="H81" s="16"/>
      <c r="I81" s="18" t="str">
        <f t="shared" si="5"/>
        <v/>
      </c>
      <c r="J81" s="19" t="str">
        <f t="shared" si="6"/>
        <v/>
      </c>
      <c r="K81" s="19" t="str">
        <f>IF(I81="","",IF(I81&lt;=Скали!$B$1,"да","не"))</f>
        <v/>
      </c>
      <c r="L81" s="16"/>
      <c r="M81" s="16"/>
      <c r="N81" s="16"/>
      <c r="O81" s="16"/>
      <c r="P81" s="16"/>
      <c r="Q81" s="16"/>
      <c r="R81" s="18" t="str">
        <f t="shared" si="7"/>
        <v/>
      </c>
      <c r="S81" s="16"/>
    </row>
    <row r="82" spans="1:19" x14ac:dyDescent="0.3">
      <c r="A82" s="16"/>
      <c r="B82" s="16"/>
      <c r="C82" s="16"/>
      <c r="D82" s="16"/>
      <c r="E82" s="16"/>
      <c r="F82" s="16"/>
      <c r="G82" s="16"/>
      <c r="H82" s="16"/>
      <c r="I82" s="18" t="str">
        <f t="shared" si="5"/>
        <v/>
      </c>
      <c r="J82" s="19" t="str">
        <f t="shared" si="6"/>
        <v/>
      </c>
      <c r="K82" s="19" t="str">
        <f>IF(I82="","",IF(I82&lt;=Скали!$B$1,"да","не"))</f>
        <v/>
      </c>
      <c r="L82" s="16"/>
      <c r="M82" s="16"/>
      <c r="N82" s="16"/>
      <c r="O82" s="16"/>
      <c r="P82" s="16"/>
      <c r="Q82" s="16"/>
      <c r="R82" s="18" t="str">
        <f t="shared" si="7"/>
        <v/>
      </c>
      <c r="S82" s="16"/>
    </row>
    <row r="83" spans="1:19" x14ac:dyDescent="0.3">
      <c r="A83" s="16"/>
      <c r="B83" s="16"/>
      <c r="C83" s="16"/>
      <c r="D83" s="16"/>
      <c r="E83" s="16"/>
      <c r="F83" s="16"/>
      <c r="G83" s="16"/>
      <c r="H83" s="16"/>
      <c r="I83" s="18" t="str">
        <f t="shared" si="5"/>
        <v/>
      </c>
      <c r="J83" s="19" t="str">
        <f t="shared" si="6"/>
        <v/>
      </c>
      <c r="K83" s="19" t="str">
        <f>IF(I83="","",IF(I83&lt;=Скали!$B$1,"да","не"))</f>
        <v/>
      </c>
      <c r="L83" s="16"/>
      <c r="M83" s="16"/>
      <c r="N83" s="16"/>
      <c r="O83" s="16"/>
      <c r="P83" s="16"/>
      <c r="Q83" s="16"/>
      <c r="R83" s="18" t="str">
        <f t="shared" si="7"/>
        <v/>
      </c>
      <c r="S83" s="16"/>
    </row>
    <row r="84" spans="1:19" x14ac:dyDescent="0.3">
      <c r="A84" s="16"/>
      <c r="B84" s="16"/>
      <c r="C84" s="16"/>
      <c r="D84" s="16"/>
      <c r="E84" s="16"/>
      <c r="F84" s="16"/>
      <c r="G84" s="16"/>
      <c r="H84" s="16"/>
      <c r="I84" s="18" t="str">
        <f t="shared" si="5"/>
        <v/>
      </c>
      <c r="J84" s="19" t="str">
        <f t="shared" si="6"/>
        <v/>
      </c>
      <c r="K84" s="19" t="str">
        <f>IF(I84="","",IF(I84&lt;=Скали!$B$1,"да","не"))</f>
        <v/>
      </c>
      <c r="L84" s="16"/>
      <c r="M84" s="16"/>
      <c r="N84" s="16"/>
      <c r="O84" s="16"/>
      <c r="P84" s="16"/>
      <c r="Q84" s="16"/>
      <c r="R84" s="18" t="str">
        <f t="shared" si="7"/>
        <v/>
      </c>
      <c r="S84" s="16"/>
    </row>
    <row r="85" spans="1:19" x14ac:dyDescent="0.3">
      <c r="A85" s="16"/>
      <c r="B85" s="16"/>
      <c r="C85" s="16"/>
      <c r="D85" s="16"/>
      <c r="E85" s="16"/>
      <c r="F85" s="16"/>
      <c r="G85" s="16"/>
      <c r="H85" s="16"/>
      <c r="I85" s="18" t="str">
        <f t="shared" si="5"/>
        <v/>
      </c>
      <c r="J85" s="19" t="str">
        <f t="shared" si="6"/>
        <v/>
      </c>
      <c r="K85" s="19" t="str">
        <f>IF(I85="","",IF(I85&lt;=Скали!$B$1,"да","не"))</f>
        <v/>
      </c>
      <c r="L85" s="16"/>
      <c r="M85" s="16"/>
      <c r="N85" s="16"/>
      <c r="O85" s="16"/>
      <c r="P85" s="16"/>
      <c r="Q85" s="16"/>
      <c r="R85" s="18" t="str">
        <f t="shared" si="7"/>
        <v/>
      </c>
      <c r="S85" s="16"/>
    </row>
    <row r="86" spans="1:19" x14ac:dyDescent="0.3">
      <c r="A86" s="16"/>
      <c r="B86" s="16"/>
      <c r="C86" s="16"/>
      <c r="D86" s="16"/>
      <c r="E86" s="16"/>
      <c r="F86" s="16"/>
      <c r="G86" s="16"/>
      <c r="H86" s="16"/>
      <c r="I86" s="18" t="str">
        <f t="shared" si="5"/>
        <v/>
      </c>
      <c r="J86" s="19" t="str">
        <f t="shared" si="6"/>
        <v/>
      </c>
      <c r="K86" s="19" t="str">
        <f>IF(I86="","",IF(I86&lt;=Скали!$B$1,"да","не"))</f>
        <v/>
      </c>
      <c r="L86" s="16"/>
      <c r="M86" s="16"/>
      <c r="N86" s="16"/>
      <c r="O86" s="16"/>
      <c r="P86" s="16"/>
      <c r="Q86" s="16"/>
      <c r="R86" s="18" t="str">
        <f t="shared" si="7"/>
        <v/>
      </c>
      <c r="S86" s="16"/>
    </row>
    <row r="87" spans="1:19" x14ac:dyDescent="0.3">
      <c r="A87" s="16"/>
      <c r="B87" s="16"/>
      <c r="C87" s="16"/>
      <c r="D87" s="16"/>
      <c r="E87" s="16"/>
      <c r="F87" s="16"/>
      <c r="G87" s="16"/>
      <c r="H87" s="16"/>
      <c r="I87" s="18" t="str">
        <f t="shared" si="5"/>
        <v/>
      </c>
      <c r="J87" s="19" t="str">
        <f t="shared" si="6"/>
        <v/>
      </c>
      <c r="K87" s="19" t="str">
        <f>IF(I87="","",IF(I87&lt;=Скали!$B$1,"да","не"))</f>
        <v/>
      </c>
      <c r="L87" s="16"/>
      <c r="M87" s="16"/>
      <c r="N87" s="16"/>
      <c r="O87" s="16"/>
      <c r="P87" s="16"/>
      <c r="Q87" s="16"/>
      <c r="R87" s="18" t="str">
        <f t="shared" si="7"/>
        <v/>
      </c>
      <c r="S87" s="16"/>
    </row>
    <row r="88" spans="1:19" x14ac:dyDescent="0.3">
      <c r="A88" s="16"/>
      <c r="B88" s="16"/>
      <c r="C88" s="16"/>
      <c r="D88" s="16"/>
      <c r="E88" s="16"/>
      <c r="F88" s="16"/>
      <c r="G88" s="16"/>
      <c r="H88" s="16"/>
      <c r="I88" s="18" t="str">
        <f t="shared" si="5"/>
        <v/>
      </c>
      <c r="J88" s="19" t="str">
        <f t="shared" si="6"/>
        <v/>
      </c>
      <c r="K88" s="19" t="str">
        <f>IF(I88="","",IF(I88&lt;=Скали!$B$1,"да","не"))</f>
        <v/>
      </c>
      <c r="L88" s="16"/>
      <c r="M88" s="16"/>
      <c r="N88" s="16"/>
      <c r="O88" s="16"/>
      <c r="P88" s="16"/>
      <c r="Q88" s="16"/>
      <c r="R88" s="18" t="str">
        <f t="shared" si="7"/>
        <v/>
      </c>
      <c r="S88" s="16"/>
    </row>
    <row r="89" spans="1:19" x14ac:dyDescent="0.3">
      <c r="A89" s="16"/>
      <c r="B89" s="16"/>
      <c r="C89" s="16"/>
      <c r="D89" s="16"/>
      <c r="E89" s="16"/>
      <c r="F89" s="16"/>
      <c r="G89" s="16"/>
      <c r="H89" s="16"/>
      <c r="I89" s="18" t="str">
        <f t="shared" si="5"/>
        <v/>
      </c>
      <c r="J89" s="19" t="str">
        <f t="shared" si="6"/>
        <v/>
      </c>
      <c r="K89" s="19" t="str">
        <f>IF(I89="","",IF(I89&lt;=Скали!$B$1,"да","не"))</f>
        <v/>
      </c>
      <c r="L89" s="16"/>
      <c r="M89" s="16"/>
      <c r="N89" s="16"/>
      <c r="O89" s="16"/>
      <c r="P89" s="16"/>
      <c r="Q89" s="16"/>
      <c r="R89" s="18" t="str">
        <f t="shared" si="7"/>
        <v/>
      </c>
      <c r="S89" s="16"/>
    </row>
    <row r="90" spans="1:19" x14ac:dyDescent="0.3">
      <c r="A90" s="16"/>
      <c r="B90" s="16"/>
      <c r="C90" s="16"/>
      <c r="D90" s="16"/>
      <c r="E90" s="16"/>
      <c r="F90" s="16"/>
      <c r="G90" s="16"/>
      <c r="H90" s="16"/>
      <c r="I90" s="18" t="str">
        <f t="shared" si="5"/>
        <v/>
      </c>
      <c r="J90" s="19" t="str">
        <f t="shared" si="6"/>
        <v/>
      </c>
      <c r="K90" s="19" t="str">
        <f>IF(I90="","",IF(I90&lt;=Скали!$B$1,"да","не"))</f>
        <v/>
      </c>
      <c r="L90" s="16"/>
      <c r="M90" s="16"/>
      <c r="N90" s="16"/>
      <c r="O90" s="16"/>
      <c r="P90" s="16"/>
      <c r="Q90" s="16"/>
      <c r="R90" s="18" t="str">
        <f t="shared" si="7"/>
        <v/>
      </c>
      <c r="S90" s="16"/>
    </row>
    <row r="91" spans="1:19" x14ac:dyDescent="0.3">
      <c r="A91" s="16"/>
      <c r="B91" s="16"/>
      <c r="C91" s="16"/>
      <c r="D91" s="16"/>
      <c r="E91" s="16"/>
      <c r="F91" s="16"/>
      <c r="G91" s="16"/>
      <c r="H91" s="16"/>
      <c r="I91" s="18" t="str">
        <f t="shared" si="5"/>
        <v/>
      </c>
      <c r="J91" s="19" t="str">
        <f t="shared" si="6"/>
        <v/>
      </c>
      <c r="K91" s="19" t="str">
        <f>IF(I91="","",IF(I91&lt;=Скали!$B$1,"да","не"))</f>
        <v/>
      </c>
      <c r="L91" s="16"/>
      <c r="M91" s="16"/>
      <c r="N91" s="16"/>
      <c r="O91" s="16"/>
      <c r="P91" s="16"/>
      <c r="Q91" s="16"/>
      <c r="R91" s="18" t="str">
        <f t="shared" si="7"/>
        <v/>
      </c>
      <c r="S91" s="16"/>
    </row>
    <row r="92" spans="1:19" x14ac:dyDescent="0.3">
      <c r="A92" s="16"/>
      <c r="B92" s="16"/>
      <c r="C92" s="16"/>
      <c r="D92" s="16"/>
      <c r="E92" s="16"/>
      <c r="F92" s="16"/>
      <c r="G92" s="16"/>
      <c r="H92" s="16"/>
      <c r="I92" s="18" t="str">
        <f t="shared" si="5"/>
        <v/>
      </c>
      <c r="J92" s="19" t="str">
        <f t="shared" si="6"/>
        <v/>
      </c>
      <c r="K92" s="19" t="str">
        <f>IF(I92="","",IF(I92&lt;=Скали!$B$1,"да","не"))</f>
        <v/>
      </c>
      <c r="L92" s="16"/>
      <c r="M92" s="16"/>
      <c r="N92" s="16"/>
      <c r="O92" s="16"/>
      <c r="P92" s="16"/>
      <c r="Q92" s="16"/>
      <c r="R92" s="18" t="str">
        <f t="shared" si="7"/>
        <v/>
      </c>
      <c r="S92" s="16"/>
    </row>
    <row r="93" spans="1:19" x14ac:dyDescent="0.3">
      <c r="A93" s="16"/>
      <c r="B93" s="16"/>
      <c r="C93" s="16"/>
      <c r="D93" s="16"/>
      <c r="E93" s="16"/>
      <c r="F93" s="16"/>
      <c r="G93" s="16"/>
      <c r="H93" s="16"/>
      <c r="I93" s="18" t="str">
        <f t="shared" si="5"/>
        <v/>
      </c>
      <c r="J93" s="19" t="str">
        <f t="shared" si="6"/>
        <v/>
      </c>
      <c r="K93" s="19" t="str">
        <f>IF(I93="","",IF(I93&lt;=Скали!$B$1,"да","не"))</f>
        <v/>
      </c>
      <c r="L93" s="16"/>
      <c r="M93" s="16"/>
      <c r="N93" s="16"/>
      <c r="O93" s="16"/>
      <c r="P93" s="16"/>
      <c r="Q93" s="16"/>
      <c r="R93" s="18" t="str">
        <f t="shared" si="7"/>
        <v/>
      </c>
      <c r="S93" s="16"/>
    </row>
    <row r="94" spans="1:19" x14ac:dyDescent="0.3">
      <c r="A94" s="16"/>
      <c r="B94" s="16"/>
      <c r="C94" s="16"/>
      <c r="D94" s="16"/>
      <c r="E94" s="16"/>
      <c r="F94" s="16"/>
      <c r="G94" s="16"/>
      <c r="H94" s="16"/>
      <c r="I94" s="18" t="str">
        <f t="shared" si="5"/>
        <v/>
      </c>
      <c r="J94" s="19" t="str">
        <f t="shared" si="6"/>
        <v/>
      </c>
      <c r="K94" s="19" t="str">
        <f>IF(I94="","",IF(I94&lt;=Скали!$B$1,"да","не"))</f>
        <v/>
      </c>
      <c r="L94" s="16"/>
      <c r="M94" s="16"/>
      <c r="N94" s="16"/>
      <c r="O94" s="16"/>
      <c r="P94" s="16"/>
      <c r="Q94" s="16"/>
      <c r="R94" s="18" t="str">
        <f t="shared" si="7"/>
        <v/>
      </c>
      <c r="S94" s="16"/>
    </row>
    <row r="95" spans="1:19" x14ac:dyDescent="0.3">
      <c r="A95" s="16"/>
      <c r="B95" s="16"/>
      <c r="C95" s="16"/>
      <c r="D95" s="16"/>
      <c r="E95" s="16"/>
      <c r="F95" s="16"/>
      <c r="G95" s="16"/>
      <c r="H95" s="16"/>
      <c r="I95" s="18" t="str">
        <f t="shared" si="5"/>
        <v/>
      </c>
      <c r="J95" s="19" t="str">
        <f t="shared" si="6"/>
        <v/>
      </c>
      <c r="K95" s="19" t="str">
        <f>IF(I95="","",IF(I95&lt;=Скали!$B$1,"да","не"))</f>
        <v/>
      </c>
      <c r="L95" s="16"/>
      <c r="M95" s="16"/>
      <c r="N95" s="16"/>
      <c r="O95" s="16"/>
      <c r="P95" s="16"/>
      <c r="Q95" s="16"/>
      <c r="R95" s="18" t="str">
        <f t="shared" si="7"/>
        <v/>
      </c>
      <c r="S95" s="16"/>
    </row>
    <row r="96" spans="1:19" x14ac:dyDescent="0.3">
      <c r="A96" s="16"/>
      <c r="B96" s="16"/>
      <c r="C96" s="16"/>
      <c r="D96" s="16"/>
      <c r="E96" s="16"/>
      <c r="F96" s="16"/>
      <c r="G96" s="16"/>
      <c r="H96" s="16"/>
      <c r="I96" s="18" t="str">
        <f t="shared" si="5"/>
        <v/>
      </c>
      <c r="J96" s="19" t="str">
        <f t="shared" si="6"/>
        <v/>
      </c>
      <c r="K96" s="19" t="str">
        <f>IF(I96="","",IF(I96&lt;=Скали!$B$1,"да","не"))</f>
        <v/>
      </c>
      <c r="L96" s="16"/>
      <c r="M96" s="16"/>
      <c r="N96" s="16"/>
      <c r="O96" s="16"/>
      <c r="P96" s="16"/>
      <c r="Q96" s="16"/>
      <c r="R96" s="18" t="str">
        <f t="shared" si="7"/>
        <v/>
      </c>
      <c r="S96" s="16"/>
    </row>
    <row r="97" spans="1:19" x14ac:dyDescent="0.3">
      <c r="A97" s="16"/>
      <c r="B97" s="16"/>
      <c r="C97" s="16"/>
      <c r="D97" s="16"/>
      <c r="E97" s="16"/>
      <c r="F97" s="16"/>
      <c r="G97" s="16"/>
      <c r="H97" s="16"/>
      <c r="I97" s="18" t="str">
        <f t="shared" si="5"/>
        <v/>
      </c>
      <c r="J97" s="19" t="str">
        <f t="shared" si="6"/>
        <v/>
      </c>
      <c r="K97" s="19" t="str">
        <f>IF(I97="","",IF(I97&lt;=Скали!$B$1,"да","не"))</f>
        <v/>
      </c>
      <c r="L97" s="16"/>
      <c r="M97" s="16"/>
      <c r="N97" s="16"/>
      <c r="O97" s="16"/>
      <c r="P97" s="16"/>
      <c r="Q97" s="16"/>
      <c r="R97" s="18" t="str">
        <f t="shared" si="7"/>
        <v/>
      </c>
      <c r="S97" s="16"/>
    </row>
    <row r="98" spans="1:19" x14ac:dyDescent="0.3">
      <c r="A98" s="16"/>
      <c r="B98" s="16"/>
      <c r="C98" s="16"/>
      <c r="D98" s="16"/>
      <c r="E98" s="16"/>
      <c r="F98" s="16"/>
      <c r="G98" s="16"/>
      <c r="H98" s="16"/>
      <c r="I98" s="18" t="str">
        <f t="shared" si="5"/>
        <v/>
      </c>
      <c r="J98" s="19" t="str">
        <f t="shared" si="6"/>
        <v/>
      </c>
      <c r="K98" s="19" t="str">
        <f>IF(I98="","",IF(I98&lt;=Скали!$B$1,"да","не"))</f>
        <v/>
      </c>
      <c r="L98" s="16"/>
      <c r="M98" s="16"/>
      <c r="N98" s="16"/>
      <c r="O98" s="16"/>
      <c r="P98" s="16"/>
      <c r="Q98" s="16"/>
      <c r="R98" s="18" t="str">
        <f t="shared" si="7"/>
        <v/>
      </c>
      <c r="S98" s="16"/>
    </row>
    <row r="99" spans="1:19" x14ac:dyDescent="0.3">
      <c r="A99" s="16"/>
      <c r="B99" s="16"/>
      <c r="C99" s="16"/>
      <c r="D99" s="16"/>
      <c r="E99" s="16"/>
      <c r="F99" s="16"/>
      <c r="G99" s="16"/>
      <c r="H99" s="16"/>
      <c r="I99" s="18" t="str">
        <f t="shared" si="5"/>
        <v/>
      </c>
      <c r="J99" s="19" t="str">
        <f t="shared" si="6"/>
        <v/>
      </c>
      <c r="K99" s="19" t="str">
        <f>IF(I99="","",IF(I99&lt;=Скали!$B$1,"да","не"))</f>
        <v/>
      </c>
      <c r="L99" s="16"/>
      <c r="M99" s="16"/>
      <c r="N99" s="16"/>
      <c r="O99" s="16"/>
      <c r="P99" s="16"/>
      <c r="Q99" s="16"/>
      <c r="R99" s="18" t="str">
        <f t="shared" si="7"/>
        <v/>
      </c>
      <c r="S99" s="16"/>
    </row>
    <row r="100" spans="1:19" x14ac:dyDescent="0.3">
      <c r="A100" s="16"/>
      <c r="B100" s="16"/>
      <c r="C100" s="16"/>
      <c r="D100" s="16"/>
      <c r="E100" s="16"/>
      <c r="F100" s="16"/>
      <c r="G100" s="16"/>
      <c r="H100" s="16"/>
      <c r="I100" s="18" t="str">
        <f t="shared" si="5"/>
        <v/>
      </c>
      <c r="J100" s="19" t="str">
        <f t="shared" si="6"/>
        <v/>
      </c>
      <c r="K100" s="19" t="str">
        <f>IF(I100="","",IF(I100&lt;=Скали!$B$1,"да","не"))</f>
        <v/>
      </c>
      <c r="L100" s="16"/>
      <c r="M100" s="16"/>
      <c r="N100" s="16"/>
      <c r="O100" s="16"/>
      <c r="P100" s="16"/>
      <c r="Q100" s="16"/>
      <c r="R100" s="18" t="str">
        <f t="shared" si="7"/>
        <v/>
      </c>
      <c r="S100" s="16"/>
    </row>
    <row r="101" spans="1:19" x14ac:dyDescent="0.3">
      <c r="A101" s="16"/>
      <c r="B101" s="16"/>
      <c r="C101" s="16"/>
      <c r="D101" s="16"/>
      <c r="E101" s="16"/>
      <c r="F101" s="16"/>
      <c r="G101" s="16"/>
      <c r="H101" s="16"/>
      <c r="I101" s="18" t="str">
        <f t="shared" si="5"/>
        <v/>
      </c>
      <c r="J101" s="19" t="str">
        <f t="shared" si="6"/>
        <v/>
      </c>
      <c r="K101" s="19" t="str">
        <f>IF(I101="","",IF(I101&lt;=Скали!$B$1,"да","не"))</f>
        <v/>
      </c>
      <c r="L101" s="16"/>
      <c r="M101" s="16"/>
      <c r="N101" s="16"/>
      <c r="O101" s="16"/>
      <c r="P101" s="16"/>
      <c r="Q101" s="16"/>
      <c r="R101" s="18" t="str">
        <f t="shared" si="7"/>
        <v/>
      </c>
      <c r="S101" s="16"/>
    </row>
    <row r="102" spans="1:19" x14ac:dyDescent="0.3">
      <c r="A102" s="16"/>
      <c r="B102" s="16"/>
      <c r="C102" s="16"/>
      <c r="D102" s="16"/>
      <c r="E102" s="16"/>
      <c r="F102" s="16"/>
      <c r="G102" s="16"/>
      <c r="H102" s="16"/>
      <c r="I102" s="18" t="str">
        <f t="shared" si="5"/>
        <v/>
      </c>
      <c r="J102" s="19" t="str">
        <f t="shared" si="6"/>
        <v/>
      </c>
      <c r="K102" s="19" t="str">
        <f>IF(I102="","",IF(I102&lt;=Скали!$B$1,"да","не"))</f>
        <v/>
      </c>
      <c r="L102" s="16"/>
      <c r="M102" s="16"/>
      <c r="N102" s="16"/>
      <c r="O102" s="16"/>
      <c r="P102" s="16"/>
      <c r="Q102" s="16"/>
      <c r="R102" s="18" t="str">
        <f t="shared" si="7"/>
        <v/>
      </c>
      <c r="S102" s="16"/>
    </row>
    <row r="103" spans="1:19" x14ac:dyDescent="0.3">
      <c r="A103" s="16"/>
      <c r="B103" s="16"/>
      <c r="C103" s="16"/>
      <c r="D103" s="16"/>
      <c r="E103" s="16"/>
      <c r="F103" s="16"/>
      <c r="G103" s="16"/>
      <c r="H103" s="16"/>
      <c r="I103" s="18" t="str">
        <f t="shared" si="5"/>
        <v/>
      </c>
      <c r="J103" s="19" t="str">
        <f t="shared" si="6"/>
        <v/>
      </c>
      <c r="K103" s="19" t="str">
        <f>IF(I103="","",IF(I103&lt;=Скали!$B$1,"да","не"))</f>
        <v/>
      </c>
      <c r="L103" s="16"/>
      <c r="M103" s="16"/>
      <c r="N103" s="16"/>
      <c r="O103" s="16"/>
      <c r="P103" s="16"/>
      <c r="Q103" s="16"/>
      <c r="R103" s="18" t="str">
        <f t="shared" si="7"/>
        <v/>
      </c>
      <c r="S103" s="16"/>
    </row>
    <row r="104" spans="1:19" x14ac:dyDescent="0.3">
      <c r="A104" s="16"/>
      <c r="B104" s="16"/>
      <c r="C104" s="16"/>
      <c r="D104" s="16"/>
      <c r="E104" s="16"/>
      <c r="F104" s="16"/>
      <c r="G104" s="16"/>
      <c r="H104" s="16"/>
      <c r="I104" s="18" t="str">
        <f t="shared" si="5"/>
        <v/>
      </c>
      <c r="J104" s="19" t="str">
        <f t="shared" si="6"/>
        <v/>
      </c>
      <c r="K104" s="19" t="str">
        <f>IF(I104="","",IF(I104&lt;=Скали!$B$1,"да","не"))</f>
        <v/>
      </c>
      <c r="L104" s="16"/>
      <c r="M104" s="16"/>
      <c r="N104" s="16"/>
      <c r="O104" s="16"/>
      <c r="P104" s="16"/>
      <c r="Q104" s="16"/>
      <c r="R104" s="18" t="str">
        <f t="shared" si="7"/>
        <v/>
      </c>
      <c r="S104" s="16"/>
    </row>
    <row r="105" spans="1:19" x14ac:dyDescent="0.3">
      <c r="A105" s="16"/>
      <c r="B105" s="16"/>
      <c r="C105" s="16"/>
      <c r="D105" s="16"/>
      <c r="E105" s="16"/>
      <c r="F105" s="16"/>
      <c r="G105" s="16"/>
      <c r="H105" s="16"/>
      <c r="I105" s="18" t="str">
        <f t="shared" si="5"/>
        <v/>
      </c>
      <c r="J105" s="19" t="str">
        <f t="shared" si="6"/>
        <v/>
      </c>
      <c r="K105" s="19" t="str">
        <f>IF(I105="","",IF(I105&lt;=Скали!$B$1,"да","не"))</f>
        <v/>
      </c>
      <c r="L105" s="16"/>
      <c r="M105" s="16"/>
      <c r="N105" s="16"/>
      <c r="O105" s="16"/>
      <c r="P105" s="16"/>
      <c r="Q105" s="16"/>
      <c r="R105" s="18" t="str">
        <f t="shared" si="7"/>
        <v/>
      </c>
      <c r="S105" s="16"/>
    </row>
    <row r="106" spans="1:19" x14ac:dyDescent="0.3">
      <c r="A106" s="16"/>
      <c r="B106" s="16"/>
      <c r="C106" s="16"/>
      <c r="D106" s="16"/>
      <c r="E106" s="16"/>
      <c r="F106" s="16"/>
      <c r="G106" s="16"/>
      <c r="H106" s="16"/>
      <c r="I106" s="18" t="str">
        <f t="shared" si="5"/>
        <v/>
      </c>
      <c r="J106" s="19" t="str">
        <f t="shared" si="6"/>
        <v/>
      </c>
      <c r="K106" s="19" t="str">
        <f>IF(I106="","",IF(I106&lt;=Скали!$B$1,"да","не"))</f>
        <v/>
      </c>
      <c r="L106" s="16"/>
      <c r="M106" s="16"/>
      <c r="N106" s="16"/>
      <c r="O106" s="16"/>
      <c r="P106" s="16"/>
      <c r="Q106" s="16"/>
      <c r="R106" s="18" t="str">
        <f t="shared" si="7"/>
        <v/>
      </c>
      <c r="S106" s="16"/>
    </row>
    <row r="107" spans="1:19" x14ac:dyDescent="0.3">
      <c r="A107" s="16"/>
      <c r="B107" s="16"/>
      <c r="C107" s="16"/>
      <c r="D107" s="16"/>
      <c r="E107" s="16"/>
      <c r="F107" s="16"/>
      <c r="G107" s="16"/>
      <c r="H107" s="16"/>
      <c r="I107" s="18" t="str">
        <f t="shared" si="5"/>
        <v/>
      </c>
      <c r="J107" s="19" t="str">
        <f t="shared" si="6"/>
        <v/>
      </c>
      <c r="K107" s="19" t="str">
        <f>IF(I107="","",IF(I107&lt;=Скали!$B$1,"да","не"))</f>
        <v/>
      </c>
      <c r="L107" s="16"/>
      <c r="M107" s="16"/>
      <c r="N107" s="16"/>
      <c r="O107" s="16"/>
      <c r="P107" s="16"/>
      <c r="Q107" s="16"/>
      <c r="R107" s="18" t="str">
        <f t="shared" si="7"/>
        <v/>
      </c>
      <c r="S107" s="16"/>
    </row>
    <row r="108" spans="1:19" x14ac:dyDescent="0.3">
      <c r="A108" s="16"/>
      <c r="B108" s="16"/>
      <c r="C108" s="16"/>
      <c r="D108" s="16"/>
      <c r="E108" s="16"/>
      <c r="F108" s="16"/>
      <c r="G108" s="16"/>
      <c r="H108" s="16"/>
      <c r="I108" s="18" t="str">
        <f t="shared" si="5"/>
        <v/>
      </c>
      <c r="J108" s="19" t="str">
        <f t="shared" si="6"/>
        <v/>
      </c>
      <c r="K108" s="19" t="str">
        <f>IF(I108="","",IF(I108&lt;=Скали!$B$1,"да","не"))</f>
        <v/>
      </c>
      <c r="L108" s="16"/>
      <c r="M108" s="16"/>
      <c r="N108" s="16"/>
      <c r="O108" s="16"/>
      <c r="P108" s="16"/>
      <c r="Q108" s="16"/>
      <c r="R108" s="18" t="str">
        <f t="shared" si="7"/>
        <v/>
      </c>
      <c r="S108" s="16"/>
    </row>
    <row r="109" spans="1:19" x14ac:dyDescent="0.3">
      <c r="A109" s="16"/>
      <c r="B109" s="16"/>
      <c r="C109" s="16"/>
      <c r="D109" s="16"/>
      <c r="E109" s="16"/>
      <c r="F109" s="16"/>
      <c r="G109" s="16"/>
      <c r="H109" s="16"/>
      <c r="I109" s="18" t="str">
        <f t="shared" si="5"/>
        <v/>
      </c>
      <c r="J109" s="19" t="str">
        <f t="shared" si="6"/>
        <v/>
      </c>
      <c r="K109" s="19" t="str">
        <f>IF(I109="","",IF(I109&lt;=Скали!$B$1,"да","не"))</f>
        <v/>
      </c>
      <c r="L109" s="16"/>
      <c r="M109" s="16"/>
      <c r="N109" s="16"/>
      <c r="O109" s="16"/>
      <c r="P109" s="16"/>
      <c r="Q109" s="16"/>
      <c r="R109" s="18" t="str">
        <f t="shared" si="7"/>
        <v/>
      </c>
      <c r="S109" s="16"/>
    </row>
    <row r="110" spans="1:19" x14ac:dyDescent="0.3">
      <c r="A110" s="16"/>
      <c r="B110" s="16"/>
      <c r="C110" s="16"/>
      <c r="D110" s="16"/>
      <c r="E110" s="16"/>
      <c r="F110" s="16"/>
      <c r="G110" s="16"/>
      <c r="H110" s="16"/>
      <c r="I110" s="18" t="str">
        <f t="shared" si="5"/>
        <v/>
      </c>
      <c r="J110" s="19" t="str">
        <f t="shared" si="6"/>
        <v/>
      </c>
      <c r="K110" s="19" t="str">
        <f>IF(I110="","",IF(I110&lt;=Скали!$B$1,"да","не"))</f>
        <v/>
      </c>
      <c r="L110" s="16"/>
      <c r="M110" s="16"/>
      <c r="N110" s="16"/>
      <c r="O110" s="16"/>
      <c r="P110" s="16"/>
      <c r="Q110" s="16"/>
      <c r="R110" s="18" t="str">
        <f t="shared" si="7"/>
        <v/>
      </c>
      <c r="S110" s="16"/>
    </row>
    <row r="111" spans="1:19" x14ac:dyDescent="0.3">
      <c r="A111" s="16"/>
      <c r="B111" s="16"/>
      <c r="C111" s="16"/>
      <c r="D111" s="16"/>
      <c r="E111" s="16"/>
      <c r="F111" s="16"/>
      <c r="G111" s="16"/>
      <c r="H111" s="16"/>
      <c r="I111" s="18" t="str">
        <f t="shared" si="5"/>
        <v/>
      </c>
      <c r="J111" s="19" t="str">
        <f t="shared" si="6"/>
        <v/>
      </c>
      <c r="K111" s="19" t="str">
        <f>IF(I111="","",IF(I111&lt;=Скали!$B$1,"да","не"))</f>
        <v/>
      </c>
      <c r="L111" s="16"/>
      <c r="M111" s="16"/>
      <c r="N111" s="16"/>
      <c r="O111" s="16"/>
      <c r="P111" s="16"/>
      <c r="Q111" s="16"/>
      <c r="R111" s="18" t="str">
        <f t="shared" si="7"/>
        <v/>
      </c>
      <c r="S111" s="16"/>
    </row>
    <row r="112" spans="1:19" x14ac:dyDescent="0.3">
      <c r="A112" s="16"/>
      <c r="B112" s="16"/>
      <c r="C112" s="16"/>
      <c r="D112" s="16"/>
      <c r="E112" s="16"/>
      <c r="F112" s="16"/>
      <c r="G112" s="16"/>
      <c r="H112" s="16"/>
      <c r="I112" s="18" t="str">
        <f t="shared" si="5"/>
        <v/>
      </c>
      <c r="J112" s="19" t="str">
        <f t="shared" si="6"/>
        <v/>
      </c>
      <c r="K112" s="19" t="str">
        <f>IF(I112="","",IF(I112&lt;=Скали!$B$1,"да","не"))</f>
        <v/>
      </c>
      <c r="L112" s="16"/>
      <c r="M112" s="16"/>
      <c r="N112" s="16"/>
      <c r="O112" s="16"/>
      <c r="P112" s="16"/>
      <c r="Q112" s="16"/>
      <c r="R112" s="18" t="str">
        <f t="shared" si="7"/>
        <v/>
      </c>
      <c r="S112" s="16"/>
    </row>
    <row r="113" spans="1:19" x14ac:dyDescent="0.3">
      <c r="A113" s="16"/>
      <c r="B113" s="16"/>
      <c r="C113" s="16"/>
      <c r="D113" s="16"/>
      <c r="E113" s="16"/>
      <c r="F113" s="16"/>
      <c r="G113" s="16"/>
      <c r="H113" s="16"/>
      <c r="I113" s="18" t="str">
        <f t="shared" si="5"/>
        <v/>
      </c>
      <c r="J113" s="19" t="str">
        <f t="shared" si="6"/>
        <v/>
      </c>
      <c r="K113" s="19" t="str">
        <f>IF(I113="","",IF(I113&lt;=Скали!$B$1,"да","не"))</f>
        <v/>
      </c>
      <c r="L113" s="16"/>
      <c r="M113" s="16"/>
      <c r="N113" s="16"/>
      <c r="O113" s="16"/>
      <c r="P113" s="16"/>
      <c r="Q113" s="16"/>
      <c r="R113" s="18" t="str">
        <f t="shared" si="7"/>
        <v/>
      </c>
      <c r="S113" s="16"/>
    </row>
    <row r="114" spans="1:19" x14ac:dyDescent="0.3">
      <c r="A114" s="16"/>
      <c r="B114" s="16"/>
      <c r="C114" s="16"/>
      <c r="D114" s="16"/>
      <c r="E114" s="16"/>
      <c r="F114" s="16"/>
      <c r="G114" s="16"/>
      <c r="H114" s="16"/>
      <c r="I114" s="18" t="str">
        <f t="shared" si="5"/>
        <v/>
      </c>
      <c r="J114" s="19" t="str">
        <f t="shared" si="6"/>
        <v/>
      </c>
      <c r="K114" s="19" t="str">
        <f>IF(I114="","",IF(I114&lt;=Скали!$B$1,"да","не"))</f>
        <v/>
      </c>
      <c r="L114" s="16"/>
      <c r="M114" s="16"/>
      <c r="N114" s="16"/>
      <c r="O114" s="16"/>
      <c r="P114" s="16"/>
      <c r="Q114" s="16"/>
      <c r="R114" s="18" t="str">
        <f t="shared" si="7"/>
        <v/>
      </c>
      <c r="S114" s="16"/>
    </row>
    <row r="115" spans="1:19" x14ac:dyDescent="0.3">
      <c r="A115" s="16"/>
      <c r="B115" s="16"/>
      <c r="C115" s="16"/>
      <c r="D115" s="16"/>
      <c r="E115" s="16"/>
      <c r="F115" s="16"/>
      <c r="G115" s="16"/>
      <c r="H115" s="16"/>
      <c r="I115" s="18" t="str">
        <f t="shared" si="5"/>
        <v/>
      </c>
      <c r="J115" s="19" t="str">
        <f t="shared" si="6"/>
        <v/>
      </c>
      <c r="K115" s="19" t="str">
        <f>IF(I115="","",IF(I115&lt;=Скали!$B$1,"да","не"))</f>
        <v/>
      </c>
      <c r="L115" s="16"/>
      <c r="M115" s="16"/>
      <c r="N115" s="16"/>
      <c r="O115" s="16"/>
      <c r="P115" s="16"/>
      <c r="Q115" s="16"/>
      <c r="R115" s="18" t="str">
        <f t="shared" si="7"/>
        <v/>
      </c>
      <c r="S115" s="16"/>
    </row>
    <row r="116" spans="1:19" x14ac:dyDescent="0.3">
      <c r="A116" s="16"/>
      <c r="B116" s="16"/>
      <c r="C116" s="16"/>
      <c r="D116" s="16"/>
      <c r="E116" s="16"/>
      <c r="F116" s="16"/>
      <c r="G116" s="16"/>
      <c r="H116" s="16"/>
      <c r="I116" s="18" t="str">
        <f t="shared" si="5"/>
        <v/>
      </c>
      <c r="J116" s="19" t="str">
        <f t="shared" si="6"/>
        <v/>
      </c>
      <c r="K116" s="19" t="str">
        <f>IF(I116="","",IF(I116&lt;=Скали!$B$1,"да","не"))</f>
        <v/>
      </c>
      <c r="L116" s="16"/>
      <c r="M116" s="16"/>
      <c r="N116" s="16"/>
      <c r="O116" s="16"/>
      <c r="P116" s="16"/>
      <c r="Q116" s="16"/>
      <c r="R116" s="18" t="str">
        <f t="shared" si="7"/>
        <v/>
      </c>
      <c r="S116" s="16"/>
    </row>
    <row r="117" spans="1:19" x14ac:dyDescent="0.3">
      <c r="A117" s="16"/>
      <c r="B117" s="16"/>
      <c r="C117" s="16"/>
      <c r="D117" s="16"/>
      <c r="E117" s="16"/>
      <c r="F117" s="16"/>
      <c r="G117" s="16"/>
      <c r="H117" s="16"/>
      <c r="I117" s="18" t="str">
        <f t="shared" si="5"/>
        <v/>
      </c>
      <c r="J117" s="19" t="str">
        <f t="shared" si="6"/>
        <v/>
      </c>
      <c r="K117" s="19" t="str">
        <f>IF(I117="","",IF(I117&lt;=Скали!$B$1,"да","не"))</f>
        <v/>
      </c>
      <c r="L117" s="16"/>
      <c r="M117" s="16"/>
      <c r="N117" s="16"/>
      <c r="O117" s="16"/>
      <c r="P117" s="16"/>
      <c r="Q117" s="16"/>
      <c r="R117" s="18" t="str">
        <f t="shared" si="7"/>
        <v/>
      </c>
      <c r="S117" s="16"/>
    </row>
    <row r="118" spans="1:19" x14ac:dyDescent="0.3">
      <c r="A118" s="16"/>
      <c r="B118" s="16"/>
      <c r="C118" s="16"/>
      <c r="D118" s="16"/>
      <c r="E118" s="16"/>
      <c r="F118" s="16"/>
      <c r="G118" s="16"/>
      <c r="H118" s="16"/>
      <c r="I118" s="18" t="str">
        <f t="shared" si="5"/>
        <v/>
      </c>
      <c r="J118" s="19" t="str">
        <f t="shared" si="6"/>
        <v/>
      </c>
      <c r="K118" s="19" t="str">
        <f>IF(I118="","",IF(I118&lt;=Скали!$B$1,"да","не"))</f>
        <v/>
      </c>
      <c r="L118" s="16"/>
      <c r="M118" s="16"/>
      <c r="N118" s="16"/>
      <c r="O118" s="16"/>
      <c r="P118" s="16"/>
      <c r="Q118" s="16"/>
      <c r="R118" s="18" t="str">
        <f t="shared" si="7"/>
        <v/>
      </c>
      <c r="S118" s="16"/>
    </row>
    <row r="119" spans="1:19" x14ac:dyDescent="0.3">
      <c r="A119" s="16"/>
      <c r="B119" s="16"/>
      <c r="C119" s="16"/>
      <c r="D119" s="16"/>
      <c r="E119" s="16"/>
      <c r="F119" s="16"/>
      <c r="G119" s="16"/>
      <c r="H119" s="16"/>
      <c r="I119" s="18" t="str">
        <f t="shared" si="5"/>
        <v/>
      </c>
      <c r="J119" s="19" t="str">
        <f t="shared" si="6"/>
        <v/>
      </c>
      <c r="K119" s="19" t="str">
        <f>IF(I119="","",IF(I119&lt;=Скали!$B$1,"да","не"))</f>
        <v/>
      </c>
      <c r="L119" s="16"/>
      <c r="M119" s="16"/>
      <c r="N119" s="16"/>
      <c r="O119" s="16"/>
      <c r="P119" s="16"/>
      <c r="Q119" s="16"/>
      <c r="R119" s="18" t="str">
        <f t="shared" si="7"/>
        <v/>
      </c>
      <c r="S119" s="16"/>
    </row>
    <row r="120" spans="1:19" x14ac:dyDescent="0.3">
      <c r="A120" s="16"/>
      <c r="B120" s="16"/>
      <c r="C120" s="16"/>
      <c r="D120" s="16"/>
      <c r="E120" s="16"/>
      <c r="F120" s="16"/>
      <c r="G120" s="16"/>
      <c r="H120" s="16"/>
      <c r="I120" s="18" t="str">
        <f t="shared" si="5"/>
        <v/>
      </c>
      <c r="J120" s="19" t="str">
        <f t="shared" si="6"/>
        <v/>
      </c>
      <c r="K120" s="19" t="str">
        <f>IF(I120="","",IF(I120&lt;=Скали!$B$1,"да","не"))</f>
        <v/>
      </c>
      <c r="L120" s="16"/>
      <c r="M120" s="16"/>
      <c r="N120" s="16"/>
      <c r="O120" s="16"/>
      <c r="P120" s="16"/>
      <c r="Q120" s="16"/>
      <c r="R120" s="18" t="str">
        <f t="shared" si="7"/>
        <v/>
      </c>
      <c r="S120" s="16"/>
    </row>
    <row r="121" spans="1:19" x14ac:dyDescent="0.3">
      <c r="A121" s="16"/>
      <c r="B121" s="16"/>
      <c r="C121" s="16"/>
      <c r="D121" s="16"/>
      <c r="E121" s="16"/>
      <c r="F121" s="16"/>
      <c r="G121" s="16"/>
      <c r="H121" s="16"/>
      <c r="I121" s="18" t="str">
        <f t="shared" si="5"/>
        <v/>
      </c>
      <c r="J121" s="19" t="str">
        <f t="shared" si="6"/>
        <v/>
      </c>
      <c r="K121" s="19" t="str">
        <f>IF(I121="","",IF(I121&lt;=Скали!$B$1,"да","не"))</f>
        <v/>
      </c>
      <c r="L121" s="16"/>
      <c r="M121" s="16"/>
      <c r="N121" s="16"/>
      <c r="O121" s="16"/>
      <c r="P121" s="16"/>
      <c r="Q121" s="16"/>
      <c r="R121" s="18" t="str">
        <f t="shared" si="7"/>
        <v/>
      </c>
      <c r="S121" s="16"/>
    </row>
    <row r="122" spans="1:19" x14ac:dyDescent="0.3">
      <c r="A122" s="16"/>
      <c r="B122" s="16"/>
      <c r="C122" s="16"/>
      <c r="D122" s="16"/>
      <c r="E122" s="16"/>
      <c r="F122" s="16"/>
      <c r="G122" s="16"/>
      <c r="H122" s="16"/>
      <c r="I122" s="18" t="str">
        <f t="shared" si="5"/>
        <v/>
      </c>
      <c r="J122" s="19" t="str">
        <f t="shared" si="6"/>
        <v/>
      </c>
      <c r="K122" s="19" t="str">
        <f>IF(I122="","",IF(I122&lt;=Скали!$B$1,"да","не"))</f>
        <v/>
      </c>
      <c r="L122" s="16"/>
      <c r="M122" s="16"/>
      <c r="N122" s="16"/>
      <c r="O122" s="16"/>
      <c r="P122" s="16"/>
      <c r="Q122" s="16"/>
      <c r="R122" s="18" t="str">
        <f t="shared" si="7"/>
        <v/>
      </c>
      <c r="S122" s="16"/>
    </row>
    <row r="123" spans="1:19" x14ac:dyDescent="0.3">
      <c r="A123" s="16"/>
      <c r="B123" s="16"/>
      <c r="C123" s="16"/>
      <c r="D123" s="16"/>
      <c r="E123" s="16"/>
      <c r="F123" s="16"/>
      <c r="G123" s="16"/>
      <c r="H123" s="16"/>
      <c r="I123" s="18" t="str">
        <f t="shared" si="5"/>
        <v/>
      </c>
      <c r="J123" s="19" t="str">
        <f t="shared" si="6"/>
        <v/>
      </c>
      <c r="K123" s="19" t="str">
        <f>IF(I123="","",IF(I123&lt;=Скали!$B$1,"да","не"))</f>
        <v/>
      </c>
      <c r="L123" s="16"/>
      <c r="M123" s="16"/>
      <c r="N123" s="16"/>
      <c r="O123" s="16"/>
      <c r="P123" s="16"/>
      <c r="Q123" s="16"/>
      <c r="R123" s="18" t="str">
        <f t="shared" si="7"/>
        <v/>
      </c>
      <c r="S123" s="16"/>
    </row>
    <row r="124" spans="1:19" x14ac:dyDescent="0.3">
      <c r="A124" s="16"/>
      <c r="B124" s="16"/>
      <c r="C124" s="16"/>
      <c r="D124" s="16"/>
      <c r="E124" s="16"/>
      <c r="F124" s="16"/>
      <c r="G124" s="16"/>
      <c r="H124" s="16"/>
      <c r="I124" s="18" t="str">
        <f t="shared" si="5"/>
        <v/>
      </c>
      <c r="J124" s="19" t="str">
        <f t="shared" si="6"/>
        <v/>
      </c>
      <c r="K124" s="19" t="str">
        <f>IF(I124="","",IF(I124&lt;=Скали!$B$1,"да","не"))</f>
        <v/>
      </c>
      <c r="L124" s="16"/>
      <c r="M124" s="16"/>
      <c r="N124" s="16"/>
      <c r="O124" s="16"/>
      <c r="P124" s="16"/>
      <c r="Q124" s="16"/>
      <c r="R124" s="18" t="str">
        <f t="shared" si="7"/>
        <v/>
      </c>
      <c r="S124" s="16"/>
    </row>
    <row r="125" spans="1:19" x14ac:dyDescent="0.3">
      <c r="A125" s="16"/>
      <c r="B125" s="16"/>
      <c r="C125" s="16"/>
      <c r="D125" s="16"/>
      <c r="E125" s="16"/>
      <c r="F125" s="16"/>
      <c r="G125" s="16"/>
      <c r="H125" s="16"/>
      <c r="I125" s="18" t="str">
        <f t="shared" si="5"/>
        <v/>
      </c>
      <c r="J125" s="19" t="str">
        <f t="shared" si="6"/>
        <v/>
      </c>
      <c r="K125" s="19" t="str">
        <f>IF(I125="","",IF(I125&lt;=Скали!$B$1,"да","не"))</f>
        <v/>
      </c>
      <c r="L125" s="16"/>
      <c r="M125" s="16"/>
      <c r="N125" s="16"/>
      <c r="O125" s="16"/>
      <c r="P125" s="16"/>
      <c r="Q125" s="16"/>
      <c r="R125" s="18" t="str">
        <f t="shared" si="7"/>
        <v/>
      </c>
      <c r="S125" s="16"/>
    </row>
    <row r="126" spans="1:19" x14ac:dyDescent="0.3">
      <c r="A126" s="16"/>
      <c r="B126" s="16"/>
      <c r="C126" s="16"/>
      <c r="D126" s="16"/>
      <c r="E126" s="16"/>
      <c r="F126" s="16"/>
      <c r="G126" s="16"/>
      <c r="H126" s="16"/>
      <c r="I126" s="18" t="str">
        <f t="shared" si="5"/>
        <v/>
      </c>
      <c r="J126" s="19" t="str">
        <f t="shared" si="6"/>
        <v/>
      </c>
      <c r="K126" s="19" t="str">
        <f>IF(I126="","",IF(I126&lt;=Скали!$B$1,"да","не"))</f>
        <v/>
      </c>
      <c r="L126" s="16"/>
      <c r="M126" s="16"/>
      <c r="N126" s="16"/>
      <c r="O126" s="16"/>
      <c r="P126" s="16"/>
      <c r="Q126" s="16"/>
      <c r="R126" s="18" t="str">
        <f t="shared" si="7"/>
        <v/>
      </c>
      <c r="S126" s="16"/>
    </row>
    <row r="127" spans="1:19" x14ac:dyDescent="0.3">
      <c r="A127" s="16"/>
      <c r="B127" s="16"/>
      <c r="C127" s="16"/>
      <c r="D127" s="16"/>
      <c r="E127" s="16"/>
      <c r="F127" s="16"/>
      <c r="G127" s="16"/>
      <c r="H127" s="16"/>
      <c r="I127" s="18" t="str">
        <f t="shared" si="5"/>
        <v/>
      </c>
      <c r="J127" s="19" t="str">
        <f t="shared" si="6"/>
        <v/>
      </c>
      <c r="K127" s="19" t="str">
        <f>IF(I127="","",IF(I127&lt;=Скали!$B$1,"да","не"))</f>
        <v/>
      </c>
      <c r="L127" s="16"/>
      <c r="M127" s="16"/>
      <c r="N127" s="16"/>
      <c r="O127" s="16"/>
      <c r="P127" s="16"/>
      <c r="Q127" s="16"/>
      <c r="R127" s="18" t="str">
        <f t="shared" si="7"/>
        <v/>
      </c>
      <c r="S127" s="16"/>
    </row>
    <row r="128" spans="1:19" x14ac:dyDescent="0.3">
      <c r="A128" s="16"/>
      <c r="B128" s="16"/>
      <c r="C128" s="16"/>
      <c r="D128" s="16"/>
      <c r="E128" s="16"/>
      <c r="F128" s="16"/>
      <c r="G128" s="16"/>
      <c r="H128" s="16"/>
      <c r="I128" s="18" t="str">
        <f t="shared" si="5"/>
        <v/>
      </c>
      <c r="J128" s="19" t="str">
        <f t="shared" si="6"/>
        <v/>
      </c>
      <c r="K128" s="19" t="str">
        <f>IF(I128="","",IF(I128&lt;=Скали!$B$1,"да","не"))</f>
        <v/>
      </c>
      <c r="L128" s="16"/>
      <c r="M128" s="16"/>
      <c r="N128" s="16"/>
      <c r="O128" s="16"/>
      <c r="P128" s="16"/>
      <c r="Q128" s="16"/>
      <c r="R128" s="18" t="str">
        <f t="shared" si="7"/>
        <v/>
      </c>
      <c r="S128" s="16"/>
    </row>
    <row r="129" spans="1:19" x14ac:dyDescent="0.3">
      <c r="A129" s="16"/>
      <c r="B129" s="16"/>
      <c r="C129" s="16"/>
      <c r="D129" s="16"/>
      <c r="E129" s="16"/>
      <c r="F129" s="16"/>
      <c r="G129" s="16"/>
      <c r="H129" s="16"/>
      <c r="I129" s="18" t="str">
        <f t="shared" si="5"/>
        <v/>
      </c>
      <c r="J129" s="19" t="str">
        <f t="shared" si="6"/>
        <v/>
      </c>
      <c r="K129" s="19" t="str">
        <f>IF(I129="","",IF(I129&lt;=Скали!$B$1,"да","не"))</f>
        <v/>
      </c>
      <c r="L129" s="16"/>
      <c r="M129" s="16"/>
      <c r="N129" s="16"/>
      <c r="O129" s="16"/>
      <c r="P129" s="16"/>
      <c r="Q129" s="16"/>
      <c r="R129" s="18" t="str">
        <f t="shared" si="7"/>
        <v/>
      </c>
      <c r="S129" s="16"/>
    </row>
    <row r="130" spans="1:19" x14ac:dyDescent="0.3">
      <c r="A130" s="16"/>
      <c r="B130" s="16"/>
      <c r="C130" s="16"/>
      <c r="D130" s="16"/>
      <c r="E130" s="16"/>
      <c r="F130" s="16"/>
      <c r="G130" s="16"/>
      <c r="H130" s="16"/>
      <c r="I130" s="18" t="str">
        <f t="shared" ref="I130:I193" si="8">IF(OR(G130="",H130=""),"",G130*H130)</f>
        <v/>
      </c>
      <c r="J130" s="19" t="str">
        <f t="shared" ref="J130:J193" si="9">IF(I130="","",IF(I130&lt;=4,"нисък",IF(I130&lt;=9,"умерен",IF(I130&lt;=15,"висок","критичен"))))</f>
        <v/>
      </c>
      <c r="K130" s="19" t="str">
        <f>IF(I130="","",IF(I130&lt;=Скали!$B$1,"да","не"))</f>
        <v/>
      </c>
      <c r="L130" s="16"/>
      <c r="M130" s="16"/>
      <c r="N130" s="16"/>
      <c r="O130" s="16"/>
      <c r="P130" s="16"/>
      <c r="Q130" s="16"/>
      <c r="R130" s="18" t="str">
        <f t="shared" ref="R130:R193" si="10">IF(OR(P130="",Q130=""),"",P130*Q130)</f>
        <v/>
      </c>
      <c r="S130" s="16"/>
    </row>
    <row r="131" spans="1:19" x14ac:dyDescent="0.3">
      <c r="A131" s="16"/>
      <c r="B131" s="16"/>
      <c r="C131" s="16"/>
      <c r="D131" s="16"/>
      <c r="E131" s="16"/>
      <c r="F131" s="16"/>
      <c r="G131" s="16"/>
      <c r="H131" s="16"/>
      <c r="I131" s="18" t="str">
        <f t="shared" si="8"/>
        <v/>
      </c>
      <c r="J131" s="19" t="str">
        <f t="shared" si="9"/>
        <v/>
      </c>
      <c r="K131" s="19" t="str">
        <f>IF(I131="","",IF(I131&lt;=Скали!$B$1,"да","не"))</f>
        <v/>
      </c>
      <c r="L131" s="16"/>
      <c r="M131" s="16"/>
      <c r="N131" s="16"/>
      <c r="O131" s="16"/>
      <c r="P131" s="16"/>
      <c r="Q131" s="16"/>
      <c r="R131" s="18" t="str">
        <f t="shared" si="10"/>
        <v/>
      </c>
      <c r="S131" s="16"/>
    </row>
    <row r="132" spans="1:19" x14ac:dyDescent="0.3">
      <c r="A132" s="16"/>
      <c r="B132" s="16"/>
      <c r="C132" s="16"/>
      <c r="D132" s="16"/>
      <c r="E132" s="16"/>
      <c r="F132" s="16"/>
      <c r="G132" s="16"/>
      <c r="H132" s="16"/>
      <c r="I132" s="18" t="str">
        <f t="shared" si="8"/>
        <v/>
      </c>
      <c r="J132" s="19" t="str">
        <f t="shared" si="9"/>
        <v/>
      </c>
      <c r="K132" s="19" t="str">
        <f>IF(I132="","",IF(I132&lt;=Скали!$B$1,"да","не"))</f>
        <v/>
      </c>
      <c r="L132" s="16"/>
      <c r="M132" s="16"/>
      <c r="N132" s="16"/>
      <c r="O132" s="16"/>
      <c r="P132" s="16"/>
      <c r="Q132" s="16"/>
      <c r="R132" s="18" t="str">
        <f t="shared" si="10"/>
        <v/>
      </c>
      <c r="S132" s="16"/>
    </row>
    <row r="133" spans="1:19" x14ac:dyDescent="0.3">
      <c r="A133" s="16"/>
      <c r="B133" s="16"/>
      <c r="C133" s="16"/>
      <c r="D133" s="16"/>
      <c r="E133" s="16"/>
      <c r="F133" s="16"/>
      <c r="G133" s="16"/>
      <c r="H133" s="16"/>
      <c r="I133" s="18" t="str">
        <f t="shared" si="8"/>
        <v/>
      </c>
      <c r="J133" s="19" t="str">
        <f t="shared" si="9"/>
        <v/>
      </c>
      <c r="K133" s="19" t="str">
        <f>IF(I133="","",IF(I133&lt;=Скали!$B$1,"да","не"))</f>
        <v/>
      </c>
      <c r="L133" s="16"/>
      <c r="M133" s="16"/>
      <c r="N133" s="16"/>
      <c r="O133" s="16"/>
      <c r="P133" s="16"/>
      <c r="Q133" s="16"/>
      <c r="R133" s="18" t="str">
        <f t="shared" si="10"/>
        <v/>
      </c>
      <c r="S133" s="16"/>
    </row>
    <row r="134" spans="1:19" x14ac:dyDescent="0.3">
      <c r="A134" s="16"/>
      <c r="B134" s="16"/>
      <c r="C134" s="16"/>
      <c r="D134" s="16"/>
      <c r="E134" s="16"/>
      <c r="F134" s="16"/>
      <c r="G134" s="16"/>
      <c r="H134" s="16"/>
      <c r="I134" s="18" t="str">
        <f t="shared" si="8"/>
        <v/>
      </c>
      <c r="J134" s="19" t="str">
        <f t="shared" si="9"/>
        <v/>
      </c>
      <c r="K134" s="19" t="str">
        <f>IF(I134="","",IF(I134&lt;=Скали!$B$1,"да","не"))</f>
        <v/>
      </c>
      <c r="L134" s="16"/>
      <c r="M134" s="16"/>
      <c r="N134" s="16"/>
      <c r="O134" s="16"/>
      <c r="P134" s="16"/>
      <c r="Q134" s="16"/>
      <c r="R134" s="18" t="str">
        <f t="shared" si="10"/>
        <v/>
      </c>
      <c r="S134" s="16"/>
    </row>
    <row r="135" spans="1:19" x14ac:dyDescent="0.3">
      <c r="A135" s="16"/>
      <c r="B135" s="16"/>
      <c r="C135" s="16"/>
      <c r="D135" s="16"/>
      <c r="E135" s="16"/>
      <c r="F135" s="16"/>
      <c r="G135" s="16"/>
      <c r="H135" s="16"/>
      <c r="I135" s="18" t="str">
        <f t="shared" si="8"/>
        <v/>
      </c>
      <c r="J135" s="19" t="str">
        <f t="shared" si="9"/>
        <v/>
      </c>
      <c r="K135" s="19" t="str">
        <f>IF(I135="","",IF(I135&lt;=Скали!$B$1,"да","не"))</f>
        <v/>
      </c>
      <c r="L135" s="16"/>
      <c r="M135" s="16"/>
      <c r="N135" s="16"/>
      <c r="O135" s="16"/>
      <c r="P135" s="16"/>
      <c r="Q135" s="16"/>
      <c r="R135" s="18" t="str">
        <f t="shared" si="10"/>
        <v/>
      </c>
      <c r="S135" s="16"/>
    </row>
    <row r="136" spans="1:19" x14ac:dyDescent="0.3">
      <c r="A136" s="16"/>
      <c r="B136" s="16"/>
      <c r="C136" s="16"/>
      <c r="D136" s="16"/>
      <c r="E136" s="16"/>
      <c r="F136" s="16"/>
      <c r="G136" s="16"/>
      <c r="H136" s="16"/>
      <c r="I136" s="18" t="str">
        <f t="shared" si="8"/>
        <v/>
      </c>
      <c r="J136" s="19" t="str">
        <f t="shared" si="9"/>
        <v/>
      </c>
      <c r="K136" s="19" t="str">
        <f>IF(I136="","",IF(I136&lt;=Скали!$B$1,"да","не"))</f>
        <v/>
      </c>
      <c r="L136" s="16"/>
      <c r="M136" s="16"/>
      <c r="N136" s="16"/>
      <c r="O136" s="16"/>
      <c r="P136" s="16"/>
      <c r="Q136" s="16"/>
      <c r="R136" s="18" t="str">
        <f t="shared" si="10"/>
        <v/>
      </c>
      <c r="S136" s="16"/>
    </row>
    <row r="137" spans="1:19" x14ac:dyDescent="0.3">
      <c r="A137" s="16"/>
      <c r="B137" s="16"/>
      <c r="C137" s="16"/>
      <c r="D137" s="16"/>
      <c r="E137" s="16"/>
      <c r="F137" s="16"/>
      <c r="G137" s="16"/>
      <c r="H137" s="16"/>
      <c r="I137" s="18" t="str">
        <f t="shared" si="8"/>
        <v/>
      </c>
      <c r="J137" s="19" t="str">
        <f t="shared" si="9"/>
        <v/>
      </c>
      <c r="K137" s="19" t="str">
        <f>IF(I137="","",IF(I137&lt;=Скали!$B$1,"да","не"))</f>
        <v/>
      </c>
      <c r="L137" s="16"/>
      <c r="M137" s="16"/>
      <c r="N137" s="16"/>
      <c r="O137" s="16"/>
      <c r="P137" s="16"/>
      <c r="Q137" s="16"/>
      <c r="R137" s="18" t="str">
        <f t="shared" si="10"/>
        <v/>
      </c>
      <c r="S137" s="16"/>
    </row>
    <row r="138" spans="1:19" x14ac:dyDescent="0.3">
      <c r="A138" s="16"/>
      <c r="B138" s="16"/>
      <c r="C138" s="16"/>
      <c r="D138" s="16"/>
      <c r="E138" s="16"/>
      <c r="F138" s="16"/>
      <c r="G138" s="16"/>
      <c r="H138" s="16"/>
      <c r="I138" s="18" t="str">
        <f t="shared" si="8"/>
        <v/>
      </c>
      <c r="J138" s="19" t="str">
        <f t="shared" si="9"/>
        <v/>
      </c>
      <c r="K138" s="19" t="str">
        <f>IF(I138="","",IF(I138&lt;=Скали!$B$1,"да","не"))</f>
        <v/>
      </c>
      <c r="L138" s="16"/>
      <c r="M138" s="16"/>
      <c r="N138" s="16"/>
      <c r="O138" s="16"/>
      <c r="P138" s="16"/>
      <c r="Q138" s="16"/>
      <c r="R138" s="18" t="str">
        <f t="shared" si="10"/>
        <v/>
      </c>
      <c r="S138" s="16"/>
    </row>
    <row r="139" spans="1:19" x14ac:dyDescent="0.3">
      <c r="A139" s="16"/>
      <c r="B139" s="16"/>
      <c r="C139" s="16"/>
      <c r="D139" s="16"/>
      <c r="E139" s="16"/>
      <c r="F139" s="16"/>
      <c r="G139" s="16"/>
      <c r="H139" s="16"/>
      <c r="I139" s="18" t="str">
        <f t="shared" si="8"/>
        <v/>
      </c>
      <c r="J139" s="19" t="str">
        <f t="shared" si="9"/>
        <v/>
      </c>
      <c r="K139" s="19" t="str">
        <f>IF(I139="","",IF(I139&lt;=Скали!$B$1,"да","не"))</f>
        <v/>
      </c>
      <c r="L139" s="16"/>
      <c r="M139" s="16"/>
      <c r="N139" s="16"/>
      <c r="O139" s="16"/>
      <c r="P139" s="16"/>
      <c r="Q139" s="16"/>
      <c r="R139" s="18" t="str">
        <f t="shared" si="10"/>
        <v/>
      </c>
      <c r="S139" s="16"/>
    </row>
    <row r="140" spans="1:19" x14ac:dyDescent="0.3">
      <c r="A140" s="16"/>
      <c r="B140" s="16"/>
      <c r="C140" s="16"/>
      <c r="D140" s="16"/>
      <c r="E140" s="16"/>
      <c r="F140" s="16"/>
      <c r="G140" s="16"/>
      <c r="H140" s="16"/>
      <c r="I140" s="18" t="str">
        <f t="shared" si="8"/>
        <v/>
      </c>
      <c r="J140" s="19" t="str">
        <f t="shared" si="9"/>
        <v/>
      </c>
      <c r="K140" s="19" t="str">
        <f>IF(I140="","",IF(I140&lt;=Скали!$B$1,"да","не"))</f>
        <v/>
      </c>
      <c r="L140" s="16"/>
      <c r="M140" s="16"/>
      <c r="N140" s="16"/>
      <c r="O140" s="16"/>
      <c r="P140" s="16"/>
      <c r="Q140" s="16"/>
      <c r="R140" s="18" t="str">
        <f t="shared" si="10"/>
        <v/>
      </c>
      <c r="S140" s="16"/>
    </row>
    <row r="141" spans="1:19" x14ac:dyDescent="0.3">
      <c r="A141" s="16"/>
      <c r="B141" s="16"/>
      <c r="C141" s="16"/>
      <c r="D141" s="16"/>
      <c r="E141" s="16"/>
      <c r="F141" s="16"/>
      <c r="G141" s="16"/>
      <c r="H141" s="16"/>
      <c r="I141" s="18" t="str">
        <f t="shared" si="8"/>
        <v/>
      </c>
      <c r="J141" s="19" t="str">
        <f t="shared" si="9"/>
        <v/>
      </c>
      <c r="K141" s="19" t="str">
        <f>IF(I141="","",IF(I141&lt;=Скали!$B$1,"да","не"))</f>
        <v/>
      </c>
      <c r="L141" s="16"/>
      <c r="M141" s="16"/>
      <c r="N141" s="16"/>
      <c r="O141" s="16"/>
      <c r="P141" s="16"/>
      <c r="Q141" s="16"/>
      <c r="R141" s="18" t="str">
        <f t="shared" si="10"/>
        <v/>
      </c>
      <c r="S141" s="16"/>
    </row>
    <row r="142" spans="1:19" x14ac:dyDescent="0.3">
      <c r="A142" s="16"/>
      <c r="B142" s="16"/>
      <c r="C142" s="16"/>
      <c r="D142" s="16"/>
      <c r="E142" s="16"/>
      <c r="F142" s="16"/>
      <c r="G142" s="16"/>
      <c r="H142" s="16"/>
      <c r="I142" s="18" t="str">
        <f t="shared" si="8"/>
        <v/>
      </c>
      <c r="J142" s="19" t="str">
        <f t="shared" si="9"/>
        <v/>
      </c>
      <c r="K142" s="19" t="str">
        <f>IF(I142="","",IF(I142&lt;=Скали!$B$1,"да","не"))</f>
        <v/>
      </c>
      <c r="L142" s="16"/>
      <c r="M142" s="16"/>
      <c r="N142" s="16"/>
      <c r="O142" s="16"/>
      <c r="P142" s="16"/>
      <c r="Q142" s="16"/>
      <c r="R142" s="18" t="str">
        <f t="shared" si="10"/>
        <v/>
      </c>
      <c r="S142" s="16"/>
    </row>
    <row r="143" spans="1:19" x14ac:dyDescent="0.3">
      <c r="A143" s="16"/>
      <c r="B143" s="16"/>
      <c r="C143" s="16"/>
      <c r="D143" s="16"/>
      <c r="E143" s="16"/>
      <c r="F143" s="16"/>
      <c r="G143" s="16"/>
      <c r="H143" s="16"/>
      <c r="I143" s="18" t="str">
        <f t="shared" si="8"/>
        <v/>
      </c>
      <c r="J143" s="19" t="str">
        <f t="shared" si="9"/>
        <v/>
      </c>
      <c r="K143" s="19" t="str">
        <f>IF(I143="","",IF(I143&lt;=Скали!$B$1,"да","не"))</f>
        <v/>
      </c>
      <c r="L143" s="16"/>
      <c r="M143" s="16"/>
      <c r="N143" s="16"/>
      <c r="O143" s="16"/>
      <c r="P143" s="16"/>
      <c r="Q143" s="16"/>
      <c r="R143" s="18" t="str">
        <f t="shared" si="10"/>
        <v/>
      </c>
      <c r="S143" s="16"/>
    </row>
    <row r="144" spans="1:19" x14ac:dyDescent="0.3">
      <c r="A144" s="16"/>
      <c r="B144" s="16"/>
      <c r="C144" s="16"/>
      <c r="D144" s="16"/>
      <c r="E144" s="16"/>
      <c r="F144" s="16"/>
      <c r="G144" s="16"/>
      <c r="H144" s="16"/>
      <c r="I144" s="18" t="str">
        <f t="shared" si="8"/>
        <v/>
      </c>
      <c r="J144" s="19" t="str">
        <f t="shared" si="9"/>
        <v/>
      </c>
      <c r="K144" s="19" t="str">
        <f>IF(I144="","",IF(I144&lt;=Скали!$B$1,"да","не"))</f>
        <v/>
      </c>
      <c r="L144" s="16"/>
      <c r="M144" s="16"/>
      <c r="N144" s="16"/>
      <c r="O144" s="16"/>
      <c r="P144" s="16"/>
      <c r="Q144" s="16"/>
      <c r="R144" s="18" t="str">
        <f t="shared" si="10"/>
        <v/>
      </c>
      <c r="S144" s="16"/>
    </row>
    <row r="145" spans="1:19" x14ac:dyDescent="0.3">
      <c r="A145" s="16"/>
      <c r="B145" s="16"/>
      <c r="C145" s="16"/>
      <c r="D145" s="16"/>
      <c r="E145" s="16"/>
      <c r="F145" s="16"/>
      <c r="G145" s="16"/>
      <c r="H145" s="16"/>
      <c r="I145" s="18" t="str">
        <f t="shared" si="8"/>
        <v/>
      </c>
      <c r="J145" s="19" t="str">
        <f t="shared" si="9"/>
        <v/>
      </c>
      <c r="K145" s="19" t="str">
        <f>IF(I145="","",IF(I145&lt;=Скали!$B$1,"да","не"))</f>
        <v/>
      </c>
      <c r="L145" s="16"/>
      <c r="M145" s="16"/>
      <c r="N145" s="16"/>
      <c r="O145" s="16"/>
      <c r="P145" s="16"/>
      <c r="Q145" s="16"/>
      <c r="R145" s="18" t="str">
        <f t="shared" si="10"/>
        <v/>
      </c>
      <c r="S145" s="16"/>
    </row>
    <row r="146" spans="1:19" x14ac:dyDescent="0.3">
      <c r="A146" s="16"/>
      <c r="B146" s="16"/>
      <c r="C146" s="16"/>
      <c r="D146" s="16"/>
      <c r="E146" s="16"/>
      <c r="F146" s="16"/>
      <c r="G146" s="16"/>
      <c r="H146" s="16"/>
      <c r="I146" s="18" t="str">
        <f t="shared" si="8"/>
        <v/>
      </c>
      <c r="J146" s="19" t="str">
        <f t="shared" si="9"/>
        <v/>
      </c>
      <c r="K146" s="19" t="str">
        <f>IF(I146="","",IF(I146&lt;=Скали!$B$1,"да","не"))</f>
        <v/>
      </c>
      <c r="L146" s="16"/>
      <c r="M146" s="16"/>
      <c r="N146" s="16"/>
      <c r="O146" s="16"/>
      <c r="P146" s="16"/>
      <c r="Q146" s="16"/>
      <c r="R146" s="18" t="str">
        <f t="shared" si="10"/>
        <v/>
      </c>
      <c r="S146" s="16"/>
    </row>
    <row r="147" spans="1:19" x14ac:dyDescent="0.3">
      <c r="A147" s="16"/>
      <c r="B147" s="16"/>
      <c r="C147" s="16"/>
      <c r="D147" s="16"/>
      <c r="E147" s="16"/>
      <c r="F147" s="16"/>
      <c r="G147" s="16"/>
      <c r="H147" s="16"/>
      <c r="I147" s="18" t="str">
        <f t="shared" si="8"/>
        <v/>
      </c>
      <c r="J147" s="19" t="str">
        <f t="shared" si="9"/>
        <v/>
      </c>
      <c r="K147" s="19" t="str">
        <f>IF(I147="","",IF(I147&lt;=Скали!$B$1,"да","не"))</f>
        <v/>
      </c>
      <c r="L147" s="16"/>
      <c r="M147" s="16"/>
      <c r="N147" s="16"/>
      <c r="O147" s="16"/>
      <c r="P147" s="16"/>
      <c r="Q147" s="16"/>
      <c r="R147" s="18" t="str">
        <f t="shared" si="10"/>
        <v/>
      </c>
      <c r="S147" s="16"/>
    </row>
    <row r="148" spans="1:19" x14ac:dyDescent="0.3">
      <c r="A148" s="16"/>
      <c r="B148" s="16"/>
      <c r="C148" s="16"/>
      <c r="D148" s="16"/>
      <c r="E148" s="16"/>
      <c r="F148" s="16"/>
      <c r="G148" s="16"/>
      <c r="H148" s="16"/>
      <c r="I148" s="18" t="str">
        <f t="shared" si="8"/>
        <v/>
      </c>
      <c r="J148" s="19" t="str">
        <f t="shared" si="9"/>
        <v/>
      </c>
      <c r="K148" s="19" t="str">
        <f>IF(I148="","",IF(I148&lt;=Скали!$B$1,"да","не"))</f>
        <v/>
      </c>
      <c r="L148" s="16"/>
      <c r="M148" s="16"/>
      <c r="N148" s="16"/>
      <c r="O148" s="16"/>
      <c r="P148" s="16"/>
      <c r="Q148" s="16"/>
      <c r="R148" s="18" t="str">
        <f t="shared" si="10"/>
        <v/>
      </c>
      <c r="S148" s="16"/>
    </row>
    <row r="149" spans="1:19" x14ac:dyDescent="0.3">
      <c r="A149" s="16"/>
      <c r="B149" s="16"/>
      <c r="C149" s="16"/>
      <c r="D149" s="16"/>
      <c r="E149" s="16"/>
      <c r="F149" s="16"/>
      <c r="G149" s="16"/>
      <c r="H149" s="16"/>
      <c r="I149" s="18" t="str">
        <f t="shared" si="8"/>
        <v/>
      </c>
      <c r="J149" s="19" t="str">
        <f t="shared" si="9"/>
        <v/>
      </c>
      <c r="K149" s="19" t="str">
        <f>IF(I149="","",IF(I149&lt;=Скали!$B$1,"да","не"))</f>
        <v/>
      </c>
      <c r="L149" s="16"/>
      <c r="M149" s="16"/>
      <c r="N149" s="16"/>
      <c r="O149" s="16"/>
      <c r="P149" s="16"/>
      <c r="Q149" s="16"/>
      <c r="R149" s="18" t="str">
        <f t="shared" si="10"/>
        <v/>
      </c>
      <c r="S149" s="16"/>
    </row>
    <row r="150" spans="1:19" x14ac:dyDescent="0.3">
      <c r="A150" s="16"/>
      <c r="B150" s="16"/>
      <c r="C150" s="16"/>
      <c r="D150" s="16"/>
      <c r="E150" s="16"/>
      <c r="F150" s="16"/>
      <c r="G150" s="16"/>
      <c r="H150" s="16"/>
      <c r="I150" s="18" t="str">
        <f t="shared" si="8"/>
        <v/>
      </c>
      <c r="J150" s="19" t="str">
        <f t="shared" si="9"/>
        <v/>
      </c>
      <c r="K150" s="19" t="str">
        <f>IF(I150="","",IF(I150&lt;=Скали!$B$1,"да","не"))</f>
        <v/>
      </c>
      <c r="L150" s="16"/>
      <c r="M150" s="16"/>
      <c r="N150" s="16"/>
      <c r="O150" s="16"/>
      <c r="P150" s="16"/>
      <c r="Q150" s="16"/>
      <c r="R150" s="18" t="str">
        <f t="shared" si="10"/>
        <v/>
      </c>
      <c r="S150" s="16"/>
    </row>
    <row r="151" spans="1:19" x14ac:dyDescent="0.3">
      <c r="A151" s="16"/>
      <c r="B151" s="16"/>
      <c r="C151" s="16"/>
      <c r="D151" s="16"/>
      <c r="E151" s="16"/>
      <c r="F151" s="16"/>
      <c r="G151" s="16"/>
      <c r="H151" s="16"/>
      <c r="I151" s="18" t="str">
        <f t="shared" si="8"/>
        <v/>
      </c>
      <c r="J151" s="19" t="str">
        <f t="shared" si="9"/>
        <v/>
      </c>
      <c r="K151" s="19" t="str">
        <f>IF(I151="","",IF(I151&lt;=Скали!$B$1,"да","не"))</f>
        <v/>
      </c>
      <c r="L151" s="16"/>
      <c r="M151" s="16"/>
      <c r="N151" s="16"/>
      <c r="O151" s="16"/>
      <c r="P151" s="16"/>
      <c r="Q151" s="16"/>
      <c r="R151" s="18" t="str">
        <f t="shared" si="10"/>
        <v/>
      </c>
      <c r="S151" s="16"/>
    </row>
    <row r="152" spans="1:19" x14ac:dyDescent="0.3">
      <c r="A152" s="16"/>
      <c r="B152" s="16"/>
      <c r="C152" s="16"/>
      <c r="D152" s="16"/>
      <c r="E152" s="16"/>
      <c r="F152" s="16"/>
      <c r="G152" s="16"/>
      <c r="H152" s="16"/>
      <c r="I152" s="18" t="str">
        <f t="shared" si="8"/>
        <v/>
      </c>
      <c r="J152" s="19" t="str">
        <f t="shared" si="9"/>
        <v/>
      </c>
      <c r="K152" s="19" t="str">
        <f>IF(I152="","",IF(I152&lt;=Скали!$B$1,"да","не"))</f>
        <v/>
      </c>
      <c r="L152" s="16"/>
      <c r="M152" s="16"/>
      <c r="N152" s="16"/>
      <c r="O152" s="16"/>
      <c r="P152" s="16"/>
      <c r="Q152" s="16"/>
      <c r="R152" s="18" t="str">
        <f t="shared" si="10"/>
        <v/>
      </c>
      <c r="S152" s="16"/>
    </row>
    <row r="153" spans="1:19" x14ac:dyDescent="0.3">
      <c r="A153" s="16"/>
      <c r="B153" s="16"/>
      <c r="C153" s="16"/>
      <c r="D153" s="16"/>
      <c r="E153" s="16"/>
      <c r="F153" s="16"/>
      <c r="G153" s="16"/>
      <c r="H153" s="16"/>
      <c r="I153" s="18" t="str">
        <f t="shared" si="8"/>
        <v/>
      </c>
      <c r="J153" s="19" t="str">
        <f t="shared" si="9"/>
        <v/>
      </c>
      <c r="K153" s="19" t="str">
        <f>IF(I153="","",IF(I153&lt;=Скали!$B$1,"да","не"))</f>
        <v/>
      </c>
      <c r="L153" s="16"/>
      <c r="M153" s="16"/>
      <c r="N153" s="16"/>
      <c r="O153" s="16"/>
      <c r="P153" s="16"/>
      <c r="Q153" s="16"/>
      <c r="R153" s="18" t="str">
        <f t="shared" si="10"/>
        <v/>
      </c>
      <c r="S153" s="16"/>
    </row>
    <row r="154" spans="1:19" x14ac:dyDescent="0.3">
      <c r="A154" s="16"/>
      <c r="B154" s="16"/>
      <c r="C154" s="16"/>
      <c r="D154" s="16"/>
      <c r="E154" s="16"/>
      <c r="F154" s="16"/>
      <c r="G154" s="16"/>
      <c r="H154" s="16"/>
      <c r="I154" s="18" t="str">
        <f t="shared" si="8"/>
        <v/>
      </c>
      <c r="J154" s="19" t="str">
        <f t="shared" si="9"/>
        <v/>
      </c>
      <c r="K154" s="19" t="str">
        <f>IF(I154="","",IF(I154&lt;=Скали!$B$1,"да","не"))</f>
        <v/>
      </c>
      <c r="L154" s="16"/>
      <c r="M154" s="16"/>
      <c r="N154" s="16"/>
      <c r="O154" s="16"/>
      <c r="P154" s="16"/>
      <c r="Q154" s="16"/>
      <c r="R154" s="18" t="str">
        <f t="shared" si="10"/>
        <v/>
      </c>
      <c r="S154" s="16"/>
    </row>
    <row r="155" spans="1:19" x14ac:dyDescent="0.3">
      <c r="A155" s="16"/>
      <c r="B155" s="16"/>
      <c r="C155" s="16"/>
      <c r="D155" s="16"/>
      <c r="E155" s="16"/>
      <c r="F155" s="16"/>
      <c r="G155" s="16"/>
      <c r="H155" s="16"/>
      <c r="I155" s="18" t="str">
        <f t="shared" si="8"/>
        <v/>
      </c>
      <c r="J155" s="19" t="str">
        <f t="shared" si="9"/>
        <v/>
      </c>
      <c r="K155" s="19" t="str">
        <f>IF(I155="","",IF(I155&lt;=Скали!$B$1,"да","не"))</f>
        <v/>
      </c>
      <c r="L155" s="16"/>
      <c r="M155" s="16"/>
      <c r="N155" s="16"/>
      <c r="O155" s="16"/>
      <c r="P155" s="16"/>
      <c r="Q155" s="16"/>
      <c r="R155" s="18" t="str">
        <f t="shared" si="10"/>
        <v/>
      </c>
      <c r="S155" s="16"/>
    </row>
    <row r="156" spans="1:19" x14ac:dyDescent="0.3">
      <c r="A156" s="16"/>
      <c r="B156" s="16"/>
      <c r="C156" s="16"/>
      <c r="D156" s="16"/>
      <c r="E156" s="16"/>
      <c r="F156" s="16"/>
      <c r="G156" s="16"/>
      <c r="H156" s="16"/>
      <c r="I156" s="18" t="str">
        <f t="shared" si="8"/>
        <v/>
      </c>
      <c r="J156" s="19" t="str">
        <f t="shared" si="9"/>
        <v/>
      </c>
      <c r="K156" s="19" t="str">
        <f>IF(I156="","",IF(I156&lt;=Скали!$B$1,"да","не"))</f>
        <v/>
      </c>
      <c r="L156" s="16"/>
      <c r="M156" s="16"/>
      <c r="N156" s="16"/>
      <c r="O156" s="16"/>
      <c r="P156" s="16"/>
      <c r="Q156" s="16"/>
      <c r="R156" s="18" t="str">
        <f t="shared" si="10"/>
        <v/>
      </c>
      <c r="S156" s="16"/>
    </row>
    <row r="157" spans="1:19" x14ac:dyDescent="0.3">
      <c r="A157" s="16"/>
      <c r="B157" s="16"/>
      <c r="C157" s="16"/>
      <c r="D157" s="16"/>
      <c r="E157" s="16"/>
      <c r="F157" s="16"/>
      <c r="G157" s="16"/>
      <c r="H157" s="16"/>
      <c r="I157" s="18" t="str">
        <f t="shared" si="8"/>
        <v/>
      </c>
      <c r="J157" s="19" t="str">
        <f t="shared" si="9"/>
        <v/>
      </c>
      <c r="K157" s="19" t="str">
        <f>IF(I157="","",IF(I157&lt;=Скали!$B$1,"да","не"))</f>
        <v/>
      </c>
      <c r="L157" s="16"/>
      <c r="M157" s="16"/>
      <c r="N157" s="16"/>
      <c r="O157" s="16"/>
      <c r="P157" s="16"/>
      <c r="Q157" s="16"/>
      <c r="R157" s="18" t="str">
        <f t="shared" si="10"/>
        <v/>
      </c>
      <c r="S157" s="16"/>
    </row>
    <row r="158" spans="1:19" x14ac:dyDescent="0.3">
      <c r="A158" s="16"/>
      <c r="B158" s="16"/>
      <c r="C158" s="16"/>
      <c r="D158" s="16"/>
      <c r="E158" s="16"/>
      <c r="F158" s="16"/>
      <c r="G158" s="16"/>
      <c r="H158" s="16"/>
      <c r="I158" s="18" t="str">
        <f t="shared" si="8"/>
        <v/>
      </c>
      <c r="J158" s="19" t="str">
        <f t="shared" si="9"/>
        <v/>
      </c>
      <c r="K158" s="19" t="str">
        <f>IF(I158="","",IF(I158&lt;=Скали!$B$1,"да","не"))</f>
        <v/>
      </c>
      <c r="L158" s="16"/>
      <c r="M158" s="16"/>
      <c r="N158" s="16"/>
      <c r="O158" s="16"/>
      <c r="P158" s="16"/>
      <c r="Q158" s="16"/>
      <c r="R158" s="18" t="str">
        <f t="shared" si="10"/>
        <v/>
      </c>
      <c r="S158" s="16"/>
    </row>
    <row r="159" spans="1:19" x14ac:dyDescent="0.3">
      <c r="A159" s="16"/>
      <c r="B159" s="16"/>
      <c r="C159" s="16"/>
      <c r="D159" s="16"/>
      <c r="E159" s="16"/>
      <c r="F159" s="16"/>
      <c r="G159" s="16"/>
      <c r="H159" s="16"/>
      <c r="I159" s="18" t="str">
        <f t="shared" si="8"/>
        <v/>
      </c>
      <c r="J159" s="19" t="str">
        <f t="shared" si="9"/>
        <v/>
      </c>
      <c r="K159" s="19" t="str">
        <f>IF(I159="","",IF(I159&lt;=Скали!$B$1,"да","не"))</f>
        <v/>
      </c>
      <c r="L159" s="16"/>
      <c r="M159" s="16"/>
      <c r="N159" s="16"/>
      <c r="O159" s="16"/>
      <c r="P159" s="16"/>
      <c r="Q159" s="16"/>
      <c r="R159" s="18" t="str">
        <f t="shared" si="10"/>
        <v/>
      </c>
      <c r="S159" s="16"/>
    </row>
    <row r="160" spans="1:19" x14ac:dyDescent="0.3">
      <c r="A160" s="16"/>
      <c r="B160" s="16"/>
      <c r="C160" s="16"/>
      <c r="D160" s="16"/>
      <c r="E160" s="16"/>
      <c r="F160" s="16"/>
      <c r="G160" s="16"/>
      <c r="H160" s="16"/>
      <c r="I160" s="18" t="str">
        <f t="shared" si="8"/>
        <v/>
      </c>
      <c r="J160" s="19" t="str">
        <f t="shared" si="9"/>
        <v/>
      </c>
      <c r="K160" s="19" t="str">
        <f>IF(I160="","",IF(I160&lt;=Скали!$B$1,"да","не"))</f>
        <v/>
      </c>
      <c r="L160" s="16"/>
      <c r="M160" s="16"/>
      <c r="N160" s="16"/>
      <c r="O160" s="16"/>
      <c r="P160" s="16"/>
      <c r="Q160" s="16"/>
      <c r="R160" s="18" t="str">
        <f t="shared" si="10"/>
        <v/>
      </c>
      <c r="S160" s="16"/>
    </row>
    <row r="161" spans="1:19" x14ac:dyDescent="0.3">
      <c r="A161" s="16"/>
      <c r="B161" s="16"/>
      <c r="C161" s="16"/>
      <c r="D161" s="16"/>
      <c r="E161" s="16"/>
      <c r="F161" s="16"/>
      <c r="G161" s="16"/>
      <c r="H161" s="16"/>
      <c r="I161" s="18" t="str">
        <f t="shared" si="8"/>
        <v/>
      </c>
      <c r="J161" s="19" t="str">
        <f t="shared" si="9"/>
        <v/>
      </c>
      <c r="K161" s="19" t="str">
        <f>IF(I161="","",IF(I161&lt;=Скали!$B$1,"да","не"))</f>
        <v/>
      </c>
      <c r="L161" s="16"/>
      <c r="M161" s="16"/>
      <c r="N161" s="16"/>
      <c r="O161" s="16"/>
      <c r="P161" s="16"/>
      <c r="Q161" s="16"/>
      <c r="R161" s="18" t="str">
        <f t="shared" si="10"/>
        <v/>
      </c>
      <c r="S161" s="16"/>
    </row>
    <row r="162" spans="1:19" x14ac:dyDescent="0.3">
      <c r="A162" s="16"/>
      <c r="B162" s="16"/>
      <c r="C162" s="16"/>
      <c r="D162" s="16"/>
      <c r="E162" s="16"/>
      <c r="F162" s="16"/>
      <c r="G162" s="16"/>
      <c r="H162" s="16"/>
      <c r="I162" s="18" t="str">
        <f t="shared" si="8"/>
        <v/>
      </c>
      <c r="J162" s="19" t="str">
        <f t="shared" si="9"/>
        <v/>
      </c>
      <c r="K162" s="19" t="str">
        <f>IF(I162="","",IF(I162&lt;=Скали!$B$1,"да","не"))</f>
        <v/>
      </c>
      <c r="L162" s="16"/>
      <c r="M162" s="16"/>
      <c r="N162" s="16"/>
      <c r="O162" s="16"/>
      <c r="P162" s="16"/>
      <c r="Q162" s="16"/>
      <c r="R162" s="18" t="str">
        <f t="shared" si="10"/>
        <v/>
      </c>
      <c r="S162" s="16"/>
    </row>
    <row r="163" spans="1:19" x14ac:dyDescent="0.3">
      <c r="A163" s="16"/>
      <c r="B163" s="16"/>
      <c r="C163" s="16"/>
      <c r="D163" s="16"/>
      <c r="E163" s="16"/>
      <c r="F163" s="16"/>
      <c r="G163" s="16"/>
      <c r="H163" s="16"/>
      <c r="I163" s="18" t="str">
        <f t="shared" si="8"/>
        <v/>
      </c>
      <c r="J163" s="19" t="str">
        <f t="shared" si="9"/>
        <v/>
      </c>
      <c r="K163" s="19" t="str">
        <f>IF(I163="","",IF(I163&lt;=Скали!$B$1,"да","не"))</f>
        <v/>
      </c>
      <c r="L163" s="16"/>
      <c r="M163" s="16"/>
      <c r="N163" s="16"/>
      <c r="O163" s="16"/>
      <c r="P163" s="16"/>
      <c r="Q163" s="16"/>
      <c r="R163" s="18" t="str">
        <f t="shared" si="10"/>
        <v/>
      </c>
      <c r="S163" s="16"/>
    </row>
    <row r="164" spans="1:19" x14ac:dyDescent="0.3">
      <c r="A164" s="16"/>
      <c r="B164" s="16"/>
      <c r="C164" s="16"/>
      <c r="D164" s="16"/>
      <c r="E164" s="16"/>
      <c r="F164" s="16"/>
      <c r="G164" s="16"/>
      <c r="H164" s="16"/>
      <c r="I164" s="18" t="str">
        <f t="shared" si="8"/>
        <v/>
      </c>
      <c r="J164" s="19" t="str">
        <f t="shared" si="9"/>
        <v/>
      </c>
      <c r="K164" s="19" t="str">
        <f>IF(I164="","",IF(I164&lt;=Скали!$B$1,"да","не"))</f>
        <v/>
      </c>
      <c r="L164" s="16"/>
      <c r="M164" s="16"/>
      <c r="N164" s="16"/>
      <c r="O164" s="16"/>
      <c r="P164" s="16"/>
      <c r="Q164" s="16"/>
      <c r="R164" s="18" t="str">
        <f t="shared" si="10"/>
        <v/>
      </c>
      <c r="S164" s="16"/>
    </row>
    <row r="165" spans="1:19" x14ac:dyDescent="0.3">
      <c r="A165" s="16"/>
      <c r="B165" s="16"/>
      <c r="C165" s="16"/>
      <c r="D165" s="16"/>
      <c r="E165" s="16"/>
      <c r="F165" s="16"/>
      <c r="G165" s="16"/>
      <c r="H165" s="16"/>
      <c r="I165" s="18" t="str">
        <f t="shared" si="8"/>
        <v/>
      </c>
      <c r="J165" s="19" t="str">
        <f t="shared" si="9"/>
        <v/>
      </c>
      <c r="K165" s="19" t="str">
        <f>IF(I165="","",IF(I165&lt;=Скали!$B$1,"да","не"))</f>
        <v/>
      </c>
      <c r="L165" s="16"/>
      <c r="M165" s="16"/>
      <c r="N165" s="16"/>
      <c r="O165" s="16"/>
      <c r="P165" s="16"/>
      <c r="Q165" s="16"/>
      <c r="R165" s="18" t="str">
        <f t="shared" si="10"/>
        <v/>
      </c>
      <c r="S165" s="16"/>
    </row>
    <row r="166" spans="1:19" x14ac:dyDescent="0.3">
      <c r="A166" s="16"/>
      <c r="B166" s="16"/>
      <c r="C166" s="16"/>
      <c r="D166" s="16"/>
      <c r="E166" s="16"/>
      <c r="F166" s="16"/>
      <c r="G166" s="16"/>
      <c r="H166" s="16"/>
      <c r="I166" s="18" t="str">
        <f t="shared" si="8"/>
        <v/>
      </c>
      <c r="J166" s="19" t="str">
        <f t="shared" si="9"/>
        <v/>
      </c>
      <c r="K166" s="19" t="str">
        <f>IF(I166="","",IF(I166&lt;=Скали!$B$1,"да","не"))</f>
        <v/>
      </c>
      <c r="L166" s="16"/>
      <c r="M166" s="16"/>
      <c r="N166" s="16"/>
      <c r="O166" s="16"/>
      <c r="P166" s="16"/>
      <c r="Q166" s="16"/>
      <c r="R166" s="18" t="str">
        <f t="shared" si="10"/>
        <v/>
      </c>
      <c r="S166" s="16"/>
    </row>
    <row r="167" spans="1:19" x14ac:dyDescent="0.3">
      <c r="A167" s="16"/>
      <c r="B167" s="16"/>
      <c r="C167" s="16"/>
      <c r="D167" s="16"/>
      <c r="E167" s="16"/>
      <c r="F167" s="16"/>
      <c r="G167" s="16"/>
      <c r="H167" s="16"/>
      <c r="I167" s="18" t="str">
        <f t="shared" si="8"/>
        <v/>
      </c>
      <c r="J167" s="19" t="str">
        <f t="shared" si="9"/>
        <v/>
      </c>
      <c r="K167" s="19" t="str">
        <f>IF(I167="","",IF(I167&lt;=Скали!$B$1,"да","не"))</f>
        <v/>
      </c>
      <c r="L167" s="16"/>
      <c r="M167" s="16"/>
      <c r="N167" s="16"/>
      <c r="O167" s="16"/>
      <c r="P167" s="16"/>
      <c r="Q167" s="16"/>
      <c r="R167" s="18" t="str">
        <f t="shared" si="10"/>
        <v/>
      </c>
      <c r="S167" s="16"/>
    </row>
    <row r="168" spans="1:19" x14ac:dyDescent="0.3">
      <c r="A168" s="16"/>
      <c r="B168" s="16"/>
      <c r="C168" s="16"/>
      <c r="D168" s="16"/>
      <c r="E168" s="16"/>
      <c r="F168" s="16"/>
      <c r="G168" s="16"/>
      <c r="H168" s="16"/>
      <c r="I168" s="18" t="str">
        <f t="shared" si="8"/>
        <v/>
      </c>
      <c r="J168" s="19" t="str">
        <f t="shared" si="9"/>
        <v/>
      </c>
      <c r="K168" s="19" t="str">
        <f>IF(I168="","",IF(I168&lt;=Скали!$B$1,"да","не"))</f>
        <v/>
      </c>
      <c r="L168" s="16"/>
      <c r="M168" s="16"/>
      <c r="N168" s="16"/>
      <c r="O168" s="16"/>
      <c r="P168" s="16"/>
      <c r="Q168" s="16"/>
      <c r="R168" s="18" t="str">
        <f t="shared" si="10"/>
        <v/>
      </c>
      <c r="S168" s="16"/>
    </row>
    <row r="169" spans="1:19" x14ac:dyDescent="0.3">
      <c r="A169" s="16"/>
      <c r="B169" s="16"/>
      <c r="C169" s="16"/>
      <c r="D169" s="16"/>
      <c r="E169" s="16"/>
      <c r="F169" s="16"/>
      <c r="G169" s="16"/>
      <c r="H169" s="16"/>
      <c r="I169" s="18" t="str">
        <f t="shared" si="8"/>
        <v/>
      </c>
      <c r="J169" s="19" t="str">
        <f t="shared" si="9"/>
        <v/>
      </c>
      <c r="K169" s="19" t="str">
        <f>IF(I169="","",IF(I169&lt;=Скали!$B$1,"да","не"))</f>
        <v/>
      </c>
      <c r="L169" s="16"/>
      <c r="M169" s="16"/>
      <c r="N169" s="16"/>
      <c r="O169" s="16"/>
      <c r="P169" s="16"/>
      <c r="Q169" s="16"/>
      <c r="R169" s="18" t="str">
        <f t="shared" si="10"/>
        <v/>
      </c>
      <c r="S169" s="16"/>
    </row>
    <row r="170" spans="1:19" x14ac:dyDescent="0.3">
      <c r="A170" s="16"/>
      <c r="B170" s="16"/>
      <c r="C170" s="16"/>
      <c r="D170" s="16"/>
      <c r="E170" s="16"/>
      <c r="F170" s="16"/>
      <c r="G170" s="16"/>
      <c r="H170" s="16"/>
      <c r="I170" s="18" t="str">
        <f t="shared" si="8"/>
        <v/>
      </c>
      <c r="J170" s="19" t="str">
        <f t="shared" si="9"/>
        <v/>
      </c>
      <c r="K170" s="19" t="str">
        <f>IF(I170="","",IF(I170&lt;=Скали!$B$1,"да","не"))</f>
        <v/>
      </c>
      <c r="L170" s="16"/>
      <c r="M170" s="16"/>
      <c r="N170" s="16"/>
      <c r="O170" s="16"/>
      <c r="P170" s="16"/>
      <c r="Q170" s="16"/>
      <c r="R170" s="18" t="str">
        <f t="shared" si="10"/>
        <v/>
      </c>
      <c r="S170" s="16"/>
    </row>
    <row r="171" spans="1:19" x14ac:dyDescent="0.3">
      <c r="A171" s="16"/>
      <c r="B171" s="16"/>
      <c r="C171" s="16"/>
      <c r="D171" s="16"/>
      <c r="E171" s="16"/>
      <c r="F171" s="16"/>
      <c r="G171" s="16"/>
      <c r="H171" s="16"/>
      <c r="I171" s="18" t="str">
        <f t="shared" si="8"/>
        <v/>
      </c>
      <c r="J171" s="19" t="str">
        <f t="shared" si="9"/>
        <v/>
      </c>
      <c r="K171" s="19" t="str">
        <f>IF(I171="","",IF(I171&lt;=Скали!$B$1,"да","не"))</f>
        <v/>
      </c>
      <c r="L171" s="16"/>
      <c r="M171" s="16"/>
      <c r="N171" s="16"/>
      <c r="O171" s="16"/>
      <c r="P171" s="16"/>
      <c r="Q171" s="16"/>
      <c r="R171" s="18" t="str">
        <f t="shared" si="10"/>
        <v/>
      </c>
      <c r="S171" s="16"/>
    </row>
    <row r="172" spans="1:19" x14ac:dyDescent="0.3">
      <c r="A172" s="16"/>
      <c r="B172" s="16"/>
      <c r="C172" s="16"/>
      <c r="D172" s="16"/>
      <c r="E172" s="16"/>
      <c r="F172" s="16"/>
      <c r="G172" s="16"/>
      <c r="H172" s="16"/>
      <c r="I172" s="18" t="str">
        <f t="shared" si="8"/>
        <v/>
      </c>
      <c r="J172" s="19" t="str">
        <f t="shared" si="9"/>
        <v/>
      </c>
      <c r="K172" s="19" t="str">
        <f>IF(I172="","",IF(I172&lt;=Скали!$B$1,"да","не"))</f>
        <v/>
      </c>
      <c r="L172" s="16"/>
      <c r="M172" s="16"/>
      <c r="N172" s="16"/>
      <c r="O172" s="16"/>
      <c r="P172" s="16"/>
      <c r="Q172" s="16"/>
      <c r="R172" s="18" t="str">
        <f t="shared" si="10"/>
        <v/>
      </c>
      <c r="S172" s="16"/>
    </row>
    <row r="173" spans="1:19" x14ac:dyDescent="0.3">
      <c r="A173" s="16"/>
      <c r="B173" s="16"/>
      <c r="C173" s="16"/>
      <c r="D173" s="16"/>
      <c r="E173" s="16"/>
      <c r="F173" s="16"/>
      <c r="G173" s="16"/>
      <c r="H173" s="16"/>
      <c r="I173" s="18" t="str">
        <f t="shared" si="8"/>
        <v/>
      </c>
      <c r="J173" s="19" t="str">
        <f t="shared" si="9"/>
        <v/>
      </c>
      <c r="K173" s="19" t="str">
        <f>IF(I173="","",IF(I173&lt;=Скали!$B$1,"да","не"))</f>
        <v/>
      </c>
      <c r="L173" s="16"/>
      <c r="M173" s="16"/>
      <c r="N173" s="16"/>
      <c r="O173" s="16"/>
      <c r="P173" s="16"/>
      <c r="Q173" s="16"/>
      <c r="R173" s="18" t="str">
        <f t="shared" si="10"/>
        <v/>
      </c>
      <c r="S173" s="16"/>
    </row>
    <row r="174" spans="1:19" x14ac:dyDescent="0.3">
      <c r="A174" s="16"/>
      <c r="B174" s="16"/>
      <c r="C174" s="16"/>
      <c r="D174" s="16"/>
      <c r="E174" s="16"/>
      <c r="F174" s="16"/>
      <c r="G174" s="16"/>
      <c r="H174" s="16"/>
      <c r="I174" s="18" t="str">
        <f t="shared" si="8"/>
        <v/>
      </c>
      <c r="J174" s="19" t="str">
        <f t="shared" si="9"/>
        <v/>
      </c>
      <c r="K174" s="19" t="str">
        <f>IF(I174="","",IF(I174&lt;=Скали!$B$1,"да","не"))</f>
        <v/>
      </c>
      <c r="L174" s="16"/>
      <c r="M174" s="16"/>
      <c r="N174" s="16"/>
      <c r="O174" s="16"/>
      <c r="P174" s="16"/>
      <c r="Q174" s="16"/>
      <c r="R174" s="18" t="str">
        <f t="shared" si="10"/>
        <v/>
      </c>
      <c r="S174" s="16"/>
    </row>
    <row r="175" spans="1:19" x14ac:dyDescent="0.3">
      <c r="A175" s="16"/>
      <c r="B175" s="16"/>
      <c r="C175" s="16"/>
      <c r="D175" s="16"/>
      <c r="E175" s="16"/>
      <c r="F175" s="16"/>
      <c r="G175" s="16"/>
      <c r="H175" s="16"/>
      <c r="I175" s="18" t="str">
        <f t="shared" si="8"/>
        <v/>
      </c>
      <c r="J175" s="19" t="str">
        <f t="shared" si="9"/>
        <v/>
      </c>
      <c r="K175" s="19" t="str">
        <f>IF(I175="","",IF(I175&lt;=Скали!$B$1,"да","не"))</f>
        <v/>
      </c>
      <c r="L175" s="16"/>
      <c r="M175" s="16"/>
      <c r="N175" s="16"/>
      <c r="O175" s="16"/>
      <c r="P175" s="16"/>
      <c r="Q175" s="16"/>
      <c r="R175" s="18" t="str">
        <f t="shared" si="10"/>
        <v/>
      </c>
      <c r="S175" s="16"/>
    </row>
    <row r="176" spans="1:19" x14ac:dyDescent="0.3">
      <c r="A176" s="16"/>
      <c r="B176" s="16"/>
      <c r="C176" s="16"/>
      <c r="D176" s="16"/>
      <c r="E176" s="16"/>
      <c r="F176" s="16"/>
      <c r="G176" s="16"/>
      <c r="H176" s="16"/>
      <c r="I176" s="18" t="str">
        <f t="shared" si="8"/>
        <v/>
      </c>
      <c r="J176" s="19" t="str">
        <f t="shared" si="9"/>
        <v/>
      </c>
      <c r="K176" s="19" t="str">
        <f>IF(I176="","",IF(I176&lt;=Скали!$B$1,"да","не"))</f>
        <v/>
      </c>
      <c r="L176" s="16"/>
      <c r="M176" s="16"/>
      <c r="N176" s="16"/>
      <c r="O176" s="16"/>
      <c r="P176" s="16"/>
      <c r="Q176" s="16"/>
      <c r="R176" s="18" t="str">
        <f t="shared" si="10"/>
        <v/>
      </c>
      <c r="S176" s="16"/>
    </row>
    <row r="177" spans="1:19" x14ac:dyDescent="0.3">
      <c r="A177" s="16"/>
      <c r="B177" s="16"/>
      <c r="C177" s="16"/>
      <c r="D177" s="16"/>
      <c r="E177" s="16"/>
      <c r="F177" s="16"/>
      <c r="G177" s="16"/>
      <c r="H177" s="16"/>
      <c r="I177" s="18" t="str">
        <f t="shared" si="8"/>
        <v/>
      </c>
      <c r="J177" s="19" t="str">
        <f t="shared" si="9"/>
        <v/>
      </c>
      <c r="K177" s="19" t="str">
        <f>IF(I177="","",IF(I177&lt;=Скали!$B$1,"да","не"))</f>
        <v/>
      </c>
      <c r="L177" s="16"/>
      <c r="M177" s="16"/>
      <c r="N177" s="16"/>
      <c r="O177" s="16"/>
      <c r="P177" s="16"/>
      <c r="Q177" s="16"/>
      <c r="R177" s="18" t="str">
        <f t="shared" si="10"/>
        <v/>
      </c>
      <c r="S177" s="16"/>
    </row>
    <row r="178" spans="1:19" x14ac:dyDescent="0.3">
      <c r="A178" s="16"/>
      <c r="B178" s="16"/>
      <c r="C178" s="16"/>
      <c r="D178" s="16"/>
      <c r="E178" s="16"/>
      <c r="F178" s="16"/>
      <c r="G178" s="16"/>
      <c r="H178" s="16"/>
      <c r="I178" s="18" t="str">
        <f t="shared" si="8"/>
        <v/>
      </c>
      <c r="J178" s="19" t="str">
        <f t="shared" si="9"/>
        <v/>
      </c>
      <c r="K178" s="19" t="str">
        <f>IF(I178="","",IF(I178&lt;=Скали!$B$1,"да","не"))</f>
        <v/>
      </c>
      <c r="L178" s="16"/>
      <c r="M178" s="16"/>
      <c r="N178" s="16"/>
      <c r="O178" s="16"/>
      <c r="P178" s="16"/>
      <c r="Q178" s="16"/>
      <c r="R178" s="18" t="str">
        <f t="shared" si="10"/>
        <v/>
      </c>
      <c r="S178" s="16"/>
    </row>
    <row r="179" spans="1:19" x14ac:dyDescent="0.3">
      <c r="A179" s="16"/>
      <c r="B179" s="16"/>
      <c r="C179" s="16"/>
      <c r="D179" s="16"/>
      <c r="E179" s="16"/>
      <c r="F179" s="16"/>
      <c r="G179" s="16"/>
      <c r="H179" s="16"/>
      <c r="I179" s="18" t="str">
        <f t="shared" si="8"/>
        <v/>
      </c>
      <c r="J179" s="19" t="str">
        <f t="shared" si="9"/>
        <v/>
      </c>
      <c r="K179" s="19" t="str">
        <f>IF(I179="","",IF(I179&lt;=Скали!$B$1,"да","не"))</f>
        <v/>
      </c>
      <c r="L179" s="16"/>
      <c r="M179" s="16"/>
      <c r="N179" s="16"/>
      <c r="O179" s="16"/>
      <c r="P179" s="16"/>
      <c r="Q179" s="16"/>
      <c r="R179" s="18" t="str">
        <f t="shared" si="10"/>
        <v/>
      </c>
      <c r="S179" s="16"/>
    </row>
    <row r="180" spans="1:19" x14ac:dyDescent="0.3">
      <c r="A180" s="16"/>
      <c r="B180" s="16"/>
      <c r="C180" s="16"/>
      <c r="D180" s="16"/>
      <c r="E180" s="16"/>
      <c r="F180" s="16"/>
      <c r="G180" s="16"/>
      <c r="H180" s="16"/>
      <c r="I180" s="18" t="str">
        <f t="shared" si="8"/>
        <v/>
      </c>
      <c r="J180" s="19" t="str">
        <f t="shared" si="9"/>
        <v/>
      </c>
      <c r="K180" s="19" t="str">
        <f>IF(I180="","",IF(I180&lt;=Скали!$B$1,"да","не"))</f>
        <v/>
      </c>
      <c r="L180" s="16"/>
      <c r="M180" s="16"/>
      <c r="N180" s="16"/>
      <c r="O180" s="16"/>
      <c r="P180" s="16"/>
      <c r="Q180" s="16"/>
      <c r="R180" s="18" t="str">
        <f t="shared" si="10"/>
        <v/>
      </c>
      <c r="S180" s="16"/>
    </row>
    <row r="181" spans="1:19" x14ac:dyDescent="0.3">
      <c r="A181" s="16"/>
      <c r="B181" s="16"/>
      <c r="C181" s="16"/>
      <c r="D181" s="16"/>
      <c r="E181" s="16"/>
      <c r="F181" s="16"/>
      <c r="G181" s="16"/>
      <c r="H181" s="16"/>
      <c r="I181" s="18" t="str">
        <f t="shared" si="8"/>
        <v/>
      </c>
      <c r="J181" s="19" t="str">
        <f t="shared" si="9"/>
        <v/>
      </c>
      <c r="K181" s="19" t="str">
        <f>IF(I181="","",IF(I181&lt;=Скали!$B$1,"да","не"))</f>
        <v/>
      </c>
      <c r="L181" s="16"/>
      <c r="M181" s="16"/>
      <c r="N181" s="16"/>
      <c r="O181" s="16"/>
      <c r="P181" s="16"/>
      <c r="Q181" s="16"/>
      <c r="R181" s="18" t="str">
        <f t="shared" si="10"/>
        <v/>
      </c>
      <c r="S181" s="16"/>
    </row>
    <row r="182" spans="1:19" x14ac:dyDescent="0.3">
      <c r="A182" s="16"/>
      <c r="B182" s="16"/>
      <c r="C182" s="16"/>
      <c r="D182" s="16"/>
      <c r="E182" s="16"/>
      <c r="F182" s="16"/>
      <c r="G182" s="16"/>
      <c r="H182" s="16"/>
      <c r="I182" s="18" t="str">
        <f t="shared" si="8"/>
        <v/>
      </c>
      <c r="J182" s="19" t="str">
        <f t="shared" si="9"/>
        <v/>
      </c>
      <c r="K182" s="19" t="str">
        <f>IF(I182="","",IF(I182&lt;=Скали!$B$1,"да","не"))</f>
        <v/>
      </c>
      <c r="L182" s="16"/>
      <c r="M182" s="16"/>
      <c r="N182" s="16"/>
      <c r="O182" s="16"/>
      <c r="P182" s="16"/>
      <c r="Q182" s="16"/>
      <c r="R182" s="18" t="str">
        <f t="shared" si="10"/>
        <v/>
      </c>
      <c r="S182" s="16"/>
    </row>
    <row r="183" spans="1:19" x14ac:dyDescent="0.3">
      <c r="A183" s="16"/>
      <c r="B183" s="16"/>
      <c r="C183" s="16"/>
      <c r="D183" s="16"/>
      <c r="E183" s="16"/>
      <c r="F183" s="16"/>
      <c r="G183" s="16"/>
      <c r="H183" s="16"/>
      <c r="I183" s="18" t="str">
        <f t="shared" si="8"/>
        <v/>
      </c>
      <c r="J183" s="19" t="str">
        <f t="shared" si="9"/>
        <v/>
      </c>
      <c r="K183" s="19" t="str">
        <f>IF(I183="","",IF(I183&lt;=Скали!$B$1,"да","не"))</f>
        <v/>
      </c>
      <c r="L183" s="16"/>
      <c r="M183" s="16"/>
      <c r="N183" s="16"/>
      <c r="O183" s="16"/>
      <c r="P183" s="16"/>
      <c r="Q183" s="16"/>
      <c r="R183" s="18" t="str">
        <f t="shared" si="10"/>
        <v/>
      </c>
      <c r="S183" s="16"/>
    </row>
    <row r="184" spans="1:19" x14ac:dyDescent="0.3">
      <c r="A184" s="16"/>
      <c r="B184" s="16"/>
      <c r="C184" s="16"/>
      <c r="D184" s="16"/>
      <c r="E184" s="16"/>
      <c r="F184" s="16"/>
      <c r="G184" s="16"/>
      <c r="H184" s="16"/>
      <c r="I184" s="18" t="str">
        <f t="shared" si="8"/>
        <v/>
      </c>
      <c r="J184" s="19" t="str">
        <f t="shared" si="9"/>
        <v/>
      </c>
      <c r="K184" s="19" t="str">
        <f>IF(I184="","",IF(I184&lt;=Скали!$B$1,"да","не"))</f>
        <v/>
      </c>
      <c r="L184" s="16"/>
      <c r="M184" s="16"/>
      <c r="N184" s="16"/>
      <c r="O184" s="16"/>
      <c r="P184" s="16"/>
      <c r="Q184" s="16"/>
      <c r="R184" s="18" t="str">
        <f t="shared" si="10"/>
        <v/>
      </c>
      <c r="S184" s="16"/>
    </row>
    <row r="185" spans="1:19" x14ac:dyDescent="0.3">
      <c r="A185" s="16"/>
      <c r="B185" s="16"/>
      <c r="C185" s="16"/>
      <c r="D185" s="16"/>
      <c r="E185" s="16"/>
      <c r="F185" s="16"/>
      <c r="G185" s="16"/>
      <c r="H185" s="16"/>
      <c r="I185" s="18" t="str">
        <f t="shared" si="8"/>
        <v/>
      </c>
      <c r="J185" s="19" t="str">
        <f t="shared" si="9"/>
        <v/>
      </c>
      <c r="K185" s="19" t="str">
        <f>IF(I185="","",IF(I185&lt;=Скали!$B$1,"да","не"))</f>
        <v/>
      </c>
      <c r="L185" s="16"/>
      <c r="M185" s="16"/>
      <c r="N185" s="16"/>
      <c r="O185" s="16"/>
      <c r="P185" s="16"/>
      <c r="Q185" s="16"/>
      <c r="R185" s="18" t="str">
        <f t="shared" si="10"/>
        <v/>
      </c>
      <c r="S185" s="16"/>
    </row>
    <row r="186" spans="1:19" x14ac:dyDescent="0.3">
      <c r="A186" s="16"/>
      <c r="B186" s="16"/>
      <c r="C186" s="16"/>
      <c r="D186" s="16"/>
      <c r="E186" s="16"/>
      <c r="F186" s="16"/>
      <c r="G186" s="16"/>
      <c r="H186" s="16"/>
      <c r="I186" s="18" t="str">
        <f t="shared" si="8"/>
        <v/>
      </c>
      <c r="J186" s="19" t="str">
        <f t="shared" si="9"/>
        <v/>
      </c>
      <c r="K186" s="19" t="str">
        <f>IF(I186="","",IF(I186&lt;=Скали!$B$1,"да","не"))</f>
        <v/>
      </c>
      <c r="L186" s="16"/>
      <c r="M186" s="16"/>
      <c r="N186" s="16"/>
      <c r="O186" s="16"/>
      <c r="P186" s="16"/>
      <c r="Q186" s="16"/>
      <c r="R186" s="18" t="str">
        <f t="shared" si="10"/>
        <v/>
      </c>
      <c r="S186" s="16"/>
    </row>
    <row r="187" spans="1:19" x14ac:dyDescent="0.3">
      <c r="A187" s="16"/>
      <c r="B187" s="16"/>
      <c r="C187" s="16"/>
      <c r="D187" s="16"/>
      <c r="E187" s="16"/>
      <c r="F187" s="16"/>
      <c r="G187" s="16"/>
      <c r="H187" s="16"/>
      <c r="I187" s="18" t="str">
        <f t="shared" si="8"/>
        <v/>
      </c>
      <c r="J187" s="19" t="str">
        <f t="shared" si="9"/>
        <v/>
      </c>
      <c r="K187" s="19" t="str">
        <f>IF(I187="","",IF(I187&lt;=Скали!$B$1,"да","не"))</f>
        <v/>
      </c>
      <c r="L187" s="16"/>
      <c r="M187" s="16"/>
      <c r="N187" s="16"/>
      <c r="O187" s="16"/>
      <c r="P187" s="16"/>
      <c r="Q187" s="16"/>
      <c r="R187" s="18" t="str">
        <f t="shared" si="10"/>
        <v/>
      </c>
      <c r="S187" s="16"/>
    </row>
    <row r="188" spans="1:19" x14ac:dyDescent="0.3">
      <c r="A188" s="16"/>
      <c r="B188" s="16"/>
      <c r="C188" s="16"/>
      <c r="D188" s="16"/>
      <c r="E188" s="16"/>
      <c r="F188" s="16"/>
      <c r="G188" s="16"/>
      <c r="H188" s="16"/>
      <c r="I188" s="18" t="str">
        <f t="shared" si="8"/>
        <v/>
      </c>
      <c r="J188" s="19" t="str">
        <f t="shared" si="9"/>
        <v/>
      </c>
      <c r="K188" s="19" t="str">
        <f>IF(I188="","",IF(I188&lt;=Скали!$B$1,"да","не"))</f>
        <v/>
      </c>
      <c r="L188" s="16"/>
      <c r="M188" s="16"/>
      <c r="N188" s="16"/>
      <c r="O188" s="16"/>
      <c r="P188" s="16"/>
      <c r="Q188" s="16"/>
      <c r="R188" s="18" t="str">
        <f t="shared" si="10"/>
        <v/>
      </c>
      <c r="S188" s="16"/>
    </row>
    <row r="189" spans="1:19" x14ac:dyDescent="0.3">
      <c r="A189" s="16"/>
      <c r="B189" s="16"/>
      <c r="C189" s="16"/>
      <c r="D189" s="16"/>
      <c r="E189" s="16"/>
      <c r="F189" s="16"/>
      <c r="G189" s="16"/>
      <c r="H189" s="16"/>
      <c r="I189" s="18" t="str">
        <f t="shared" si="8"/>
        <v/>
      </c>
      <c r="J189" s="19" t="str">
        <f t="shared" si="9"/>
        <v/>
      </c>
      <c r="K189" s="19" t="str">
        <f>IF(I189="","",IF(I189&lt;=Скали!$B$1,"да","не"))</f>
        <v/>
      </c>
      <c r="L189" s="16"/>
      <c r="M189" s="16"/>
      <c r="N189" s="16"/>
      <c r="O189" s="16"/>
      <c r="P189" s="16"/>
      <c r="Q189" s="16"/>
      <c r="R189" s="18" t="str">
        <f t="shared" si="10"/>
        <v/>
      </c>
      <c r="S189" s="16"/>
    </row>
    <row r="190" spans="1:19" x14ac:dyDescent="0.3">
      <c r="A190" s="16"/>
      <c r="B190" s="16"/>
      <c r="C190" s="16"/>
      <c r="D190" s="16"/>
      <c r="E190" s="16"/>
      <c r="F190" s="16"/>
      <c r="G190" s="16"/>
      <c r="H190" s="16"/>
      <c r="I190" s="18" t="str">
        <f t="shared" si="8"/>
        <v/>
      </c>
      <c r="J190" s="19" t="str">
        <f t="shared" si="9"/>
        <v/>
      </c>
      <c r="K190" s="19" t="str">
        <f>IF(I190="","",IF(I190&lt;=Скали!$B$1,"да","не"))</f>
        <v/>
      </c>
      <c r="L190" s="16"/>
      <c r="M190" s="16"/>
      <c r="N190" s="16"/>
      <c r="O190" s="16"/>
      <c r="P190" s="16"/>
      <c r="Q190" s="16"/>
      <c r="R190" s="18" t="str">
        <f t="shared" si="10"/>
        <v/>
      </c>
      <c r="S190" s="16"/>
    </row>
    <row r="191" spans="1:19" x14ac:dyDescent="0.3">
      <c r="A191" s="16"/>
      <c r="B191" s="16"/>
      <c r="C191" s="16"/>
      <c r="D191" s="16"/>
      <c r="E191" s="16"/>
      <c r="F191" s="16"/>
      <c r="G191" s="16"/>
      <c r="H191" s="16"/>
      <c r="I191" s="18" t="str">
        <f t="shared" si="8"/>
        <v/>
      </c>
      <c r="J191" s="19" t="str">
        <f t="shared" si="9"/>
        <v/>
      </c>
      <c r="K191" s="19" t="str">
        <f>IF(I191="","",IF(I191&lt;=Скали!$B$1,"да","не"))</f>
        <v/>
      </c>
      <c r="L191" s="16"/>
      <c r="M191" s="16"/>
      <c r="N191" s="16"/>
      <c r="O191" s="16"/>
      <c r="P191" s="16"/>
      <c r="Q191" s="16"/>
      <c r="R191" s="18" t="str">
        <f t="shared" si="10"/>
        <v/>
      </c>
      <c r="S191" s="16"/>
    </row>
    <row r="192" spans="1:19" x14ac:dyDescent="0.3">
      <c r="A192" s="16"/>
      <c r="B192" s="16"/>
      <c r="C192" s="16"/>
      <c r="D192" s="16"/>
      <c r="E192" s="16"/>
      <c r="F192" s="16"/>
      <c r="G192" s="16"/>
      <c r="H192" s="16"/>
      <c r="I192" s="18" t="str">
        <f t="shared" si="8"/>
        <v/>
      </c>
      <c r="J192" s="19" t="str">
        <f t="shared" si="9"/>
        <v/>
      </c>
      <c r="K192" s="19" t="str">
        <f>IF(I192="","",IF(I192&lt;=Скали!$B$1,"да","не"))</f>
        <v/>
      </c>
      <c r="L192" s="16"/>
      <c r="M192" s="16"/>
      <c r="N192" s="16"/>
      <c r="O192" s="16"/>
      <c r="P192" s="16"/>
      <c r="Q192" s="16"/>
      <c r="R192" s="18" t="str">
        <f t="shared" si="10"/>
        <v/>
      </c>
      <c r="S192" s="16"/>
    </row>
    <row r="193" spans="1:19" x14ac:dyDescent="0.3">
      <c r="A193" s="16"/>
      <c r="B193" s="16"/>
      <c r="C193" s="16"/>
      <c r="D193" s="16"/>
      <c r="E193" s="16"/>
      <c r="F193" s="16"/>
      <c r="G193" s="16"/>
      <c r="H193" s="16"/>
      <c r="I193" s="18" t="str">
        <f t="shared" si="8"/>
        <v/>
      </c>
      <c r="J193" s="19" t="str">
        <f t="shared" si="9"/>
        <v/>
      </c>
      <c r="K193" s="19" t="str">
        <f>IF(I193="","",IF(I193&lt;=Скали!$B$1,"да","не"))</f>
        <v/>
      </c>
      <c r="L193" s="16"/>
      <c r="M193" s="16"/>
      <c r="N193" s="16"/>
      <c r="O193" s="16"/>
      <c r="P193" s="16"/>
      <c r="Q193" s="16"/>
      <c r="R193" s="18" t="str">
        <f t="shared" si="10"/>
        <v/>
      </c>
      <c r="S193" s="16"/>
    </row>
    <row r="194" spans="1:19" x14ac:dyDescent="0.3">
      <c r="A194" s="16"/>
      <c r="B194" s="16"/>
      <c r="C194" s="16"/>
      <c r="D194" s="16"/>
      <c r="E194" s="16"/>
      <c r="F194" s="16"/>
      <c r="G194" s="16"/>
      <c r="H194" s="16"/>
      <c r="I194" s="18" t="str">
        <f t="shared" ref="I194:I210" si="11">IF(OR(G194="",H194=""),"",G194*H194)</f>
        <v/>
      </c>
      <c r="J194" s="19" t="str">
        <f t="shared" ref="J194:J210" si="12">IF(I194="","",IF(I194&lt;=4,"нисък",IF(I194&lt;=9,"умерен",IF(I194&lt;=15,"висок","критичен"))))</f>
        <v/>
      </c>
      <c r="K194" s="19" t="str">
        <f>IF(I194="","",IF(I194&lt;=Скали!$B$1,"да","не"))</f>
        <v/>
      </c>
      <c r="L194" s="16"/>
      <c r="M194" s="16"/>
      <c r="N194" s="16"/>
      <c r="O194" s="16"/>
      <c r="P194" s="16"/>
      <c r="Q194" s="16"/>
      <c r="R194" s="18" t="str">
        <f t="shared" ref="R194:R210" si="13">IF(OR(P194="",Q194=""),"",P194*Q194)</f>
        <v/>
      </c>
      <c r="S194" s="16"/>
    </row>
    <row r="195" spans="1:19" x14ac:dyDescent="0.3">
      <c r="A195" s="16"/>
      <c r="B195" s="16"/>
      <c r="C195" s="16"/>
      <c r="D195" s="16"/>
      <c r="E195" s="16"/>
      <c r="F195" s="16"/>
      <c r="G195" s="16"/>
      <c r="H195" s="16"/>
      <c r="I195" s="18" t="str">
        <f t="shared" si="11"/>
        <v/>
      </c>
      <c r="J195" s="19" t="str">
        <f t="shared" si="12"/>
        <v/>
      </c>
      <c r="K195" s="19" t="str">
        <f>IF(I195="","",IF(I195&lt;=Скали!$B$1,"да","не"))</f>
        <v/>
      </c>
      <c r="L195" s="16"/>
      <c r="M195" s="16"/>
      <c r="N195" s="16"/>
      <c r="O195" s="16"/>
      <c r="P195" s="16"/>
      <c r="Q195" s="16"/>
      <c r="R195" s="18" t="str">
        <f t="shared" si="13"/>
        <v/>
      </c>
      <c r="S195" s="16"/>
    </row>
    <row r="196" spans="1:19" x14ac:dyDescent="0.3">
      <c r="A196" s="16"/>
      <c r="B196" s="16"/>
      <c r="C196" s="16"/>
      <c r="D196" s="16"/>
      <c r="E196" s="16"/>
      <c r="F196" s="16"/>
      <c r="G196" s="16"/>
      <c r="H196" s="16"/>
      <c r="I196" s="18" t="str">
        <f t="shared" si="11"/>
        <v/>
      </c>
      <c r="J196" s="19" t="str">
        <f t="shared" si="12"/>
        <v/>
      </c>
      <c r="K196" s="19" t="str">
        <f>IF(I196="","",IF(I196&lt;=Скали!$B$1,"да","не"))</f>
        <v/>
      </c>
      <c r="L196" s="16"/>
      <c r="M196" s="16"/>
      <c r="N196" s="16"/>
      <c r="O196" s="16"/>
      <c r="P196" s="16"/>
      <c r="Q196" s="16"/>
      <c r="R196" s="18" t="str">
        <f t="shared" si="13"/>
        <v/>
      </c>
      <c r="S196" s="16"/>
    </row>
    <row r="197" spans="1:19" x14ac:dyDescent="0.3">
      <c r="A197" s="16"/>
      <c r="B197" s="16"/>
      <c r="C197" s="16"/>
      <c r="D197" s="16"/>
      <c r="E197" s="16"/>
      <c r="F197" s="16"/>
      <c r="G197" s="16"/>
      <c r="H197" s="16"/>
      <c r="I197" s="18" t="str">
        <f t="shared" si="11"/>
        <v/>
      </c>
      <c r="J197" s="19" t="str">
        <f t="shared" si="12"/>
        <v/>
      </c>
      <c r="K197" s="19" t="str">
        <f>IF(I197="","",IF(I197&lt;=Скали!$B$1,"да","не"))</f>
        <v/>
      </c>
      <c r="L197" s="16"/>
      <c r="M197" s="16"/>
      <c r="N197" s="16"/>
      <c r="O197" s="16"/>
      <c r="P197" s="16"/>
      <c r="Q197" s="16"/>
      <c r="R197" s="18" t="str">
        <f t="shared" si="13"/>
        <v/>
      </c>
      <c r="S197" s="16"/>
    </row>
    <row r="198" spans="1:19" x14ac:dyDescent="0.3">
      <c r="A198" s="16"/>
      <c r="B198" s="16"/>
      <c r="C198" s="16"/>
      <c r="D198" s="16"/>
      <c r="E198" s="16"/>
      <c r="F198" s="16"/>
      <c r="G198" s="16"/>
      <c r="H198" s="16"/>
      <c r="I198" s="18" t="str">
        <f t="shared" si="11"/>
        <v/>
      </c>
      <c r="J198" s="19" t="str">
        <f t="shared" si="12"/>
        <v/>
      </c>
      <c r="K198" s="19" t="str">
        <f>IF(I198="","",IF(I198&lt;=Скали!$B$1,"да","не"))</f>
        <v/>
      </c>
      <c r="L198" s="16"/>
      <c r="M198" s="16"/>
      <c r="N198" s="16"/>
      <c r="O198" s="16"/>
      <c r="P198" s="16"/>
      <c r="Q198" s="16"/>
      <c r="R198" s="18" t="str">
        <f t="shared" si="13"/>
        <v/>
      </c>
      <c r="S198" s="16"/>
    </row>
    <row r="199" spans="1:19" x14ac:dyDescent="0.3">
      <c r="A199" s="16"/>
      <c r="B199" s="16"/>
      <c r="C199" s="16"/>
      <c r="D199" s="16"/>
      <c r="E199" s="16"/>
      <c r="F199" s="16"/>
      <c r="G199" s="16"/>
      <c r="H199" s="16"/>
      <c r="I199" s="18" t="str">
        <f t="shared" si="11"/>
        <v/>
      </c>
      <c r="J199" s="19" t="str">
        <f t="shared" si="12"/>
        <v/>
      </c>
      <c r="K199" s="19" t="str">
        <f>IF(I199="","",IF(I199&lt;=Скали!$B$1,"да","не"))</f>
        <v/>
      </c>
      <c r="L199" s="16"/>
      <c r="M199" s="16"/>
      <c r="N199" s="16"/>
      <c r="O199" s="16"/>
      <c r="P199" s="16"/>
      <c r="Q199" s="16"/>
      <c r="R199" s="18" t="str">
        <f t="shared" si="13"/>
        <v/>
      </c>
      <c r="S199" s="16"/>
    </row>
    <row r="200" spans="1:19" x14ac:dyDescent="0.3">
      <c r="A200" s="16"/>
      <c r="B200" s="16"/>
      <c r="C200" s="16"/>
      <c r="D200" s="16"/>
      <c r="E200" s="16"/>
      <c r="F200" s="16"/>
      <c r="G200" s="16"/>
      <c r="H200" s="16"/>
      <c r="I200" s="18" t="str">
        <f t="shared" si="11"/>
        <v/>
      </c>
      <c r="J200" s="19" t="str">
        <f t="shared" si="12"/>
        <v/>
      </c>
      <c r="K200" s="19" t="str">
        <f>IF(I200="","",IF(I200&lt;=Скали!$B$1,"да","не"))</f>
        <v/>
      </c>
      <c r="L200" s="16"/>
      <c r="M200" s="16"/>
      <c r="N200" s="16"/>
      <c r="O200" s="16"/>
      <c r="P200" s="16"/>
      <c r="Q200" s="16"/>
      <c r="R200" s="18" t="str">
        <f t="shared" si="13"/>
        <v/>
      </c>
      <c r="S200" s="16"/>
    </row>
    <row r="201" spans="1:19" x14ac:dyDescent="0.3">
      <c r="A201" s="16"/>
      <c r="B201" s="16"/>
      <c r="C201" s="16"/>
      <c r="D201" s="16"/>
      <c r="E201" s="16"/>
      <c r="F201" s="16"/>
      <c r="G201" s="16"/>
      <c r="H201" s="16"/>
      <c r="I201" s="18" t="str">
        <f t="shared" si="11"/>
        <v/>
      </c>
      <c r="J201" s="19" t="str">
        <f t="shared" si="12"/>
        <v/>
      </c>
      <c r="K201" s="19" t="str">
        <f>IF(I201="","",IF(I201&lt;=Скали!$B$1,"да","не"))</f>
        <v/>
      </c>
      <c r="L201" s="16"/>
      <c r="M201" s="16"/>
      <c r="N201" s="16"/>
      <c r="O201" s="16"/>
      <c r="P201" s="16"/>
      <c r="Q201" s="16"/>
      <c r="R201" s="18" t="str">
        <f t="shared" si="13"/>
        <v/>
      </c>
      <c r="S201" s="16"/>
    </row>
    <row r="202" spans="1:19" x14ac:dyDescent="0.3">
      <c r="A202" s="16"/>
      <c r="B202" s="16"/>
      <c r="C202" s="16"/>
      <c r="D202" s="16"/>
      <c r="E202" s="16"/>
      <c r="F202" s="16"/>
      <c r="G202" s="16"/>
      <c r="H202" s="16"/>
      <c r="I202" s="18" t="str">
        <f t="shared" si="11"/>
        <v/>
      </c>
      <c r="J202" s="19" t="str">
        <f t="shared" si="12"/>
        <v/>
      </c>
      <c r="K202" s="19" t="str">
        <f>IF(I202="","",IF(I202&lt;=Скали!$B$1,"да","не"))</f>
        <v/>
      </c>
      <c r="L202" s="16"/>
      <c r="M202" s="16"/>
      <c r="N202" s="16"/>
      <c r="O202" s="16"/>
      <c r="P202" s="16"/>
      <c r="Q202" s="16"/>
      <c r="R202" s="18" t="str">
        <f t="shared" si="13"/>
        <v/>
      </c>
      <c r="S202" s="16"/>
    </row>
    <row r="203" spans="1:19" x14ac:dyDescent="0.3">
      <c r="A203" s="16"/>
      <c r="B203" s="16"/>
      <c r="C203" s="16"/>
      <c r="D203" s="16"/>
      <c r="E203" s="16"/>
      <c r="F203" s="16"/>
      <c r="G203" s="16"/>
      <c r="H203" s="16"/>
      <c r="I203" s="18" t="str">
        <f t="shared" si="11"/>
        <v/>
      </c>
      <c r="J203" s="19" t="str">
        <f t="shared" si="12"/>
        <v/>
      </c>
      <c r="K203" s="19" t="str">
        <f>IF(I203="","",IF(I203&lt;=Скали!$B$1,"да","не"))</f>
        <v/>
      </c>
      <c r="L203" s="16"/>
      <c r="M203" s="16"/>
      <c r="N203" s="16"/>
      <c r="O203" s="16"/>
      <c r="P203" s="16"/>
      <c r="Q203" s="16"/>
      <c r="R203" s="18" t="str">
        <f t="shared" si="13"/>
        <v/>
      </c>
      <c r="S203" s="16"/>
    </row>
    <row r="204" spans="1:19" x14ac:dyDescent="0.3">
      <c r="I204" t="str">
        <f t="shared" si="11"/>
        <v/>
      </c>
      <c r="J204" t="str">
        <f t="shared" si="12"/>
        <v/>
      </c>
      <c r="K204" t="str">
        <f>IF(I204="","",IF(I204&lt;=Скали!$B$1,"да","не"))</f>
        <v/>
      </c>
      <c r="R204" t="str">
        <f t="shared" si="13"/>
        <v/>
      </c>
    </row>
    <row r="205" spans="1:19" x14ac:dyDescent="0.3">
      <c r="I205" t="str">
        <f t="shared" si="11"/>
        <v/>
      </c>
      <c r="J205" t="str">
        <f t="shared" si="12"/>
        <v/>
      </c>
      <c r="K205" t="str">
        <f>IF(I205="","",IF(I205&lt;=Скали!$B$1,"да","не"))</f>
        <v/>
      </c>
      <c r="R205" t="str">
        <f t="shared" si="13"/>
        <v/>
      </c>
    </row>
    <row r="206" spans="1:19" x14ac:dyDescent="0.3">
      <c r="I206" t="str">
        <f t="shared" si="11"/>
        <v/>
      </c>
      <c r="J206" t="str">
        <f t="shared" si="12"/>
        <v/>
      </c>
      <c r="K206" t="str">
        <f>IF(I206="","",IF(I206&lt;=Скали!$B$1,"да","не"))</f>
        <v/>
      </c>
      <c r="R206" t="str">
        <f t="shared" si="13"/>
        <v/>
      </c>
    </row>
    <row r="207" spans="1:19" x14ac:dyDescent="0.3">
      <c r="I207" t="str">
        <f t="shared" si="11"/>
        <v/>
      </c>
      <c r="J207" t="str">
        <f t="shared" si="12"/>
        <v/>
      </c>
      <c r="K207" t="str">
        <f>IF(I207="","",IF(I207&lt;=Скали!$B$1,"да","не"))</f>
        <v/>
      </c>
      <c r="R207" t="str">
        <f t="shared" si="13"/>
        <v/>
      </c>
    </row>
    <row r="208" spans="1:19" x14ac:dyDescent="0.3">
      <c r="I208" t="str">
        <f t="shared" si="11"/>
        <v/>
      </c>
      <c r="J208" t="str">
        <f t="shared" si="12"/>
        <v/>
      </c>
      <c r="K208" t="str">
        <f>IF(I208="","",IF(I208&lt;=Скали!$B$1,"да","не"))</f>
        <v/>
      </c>
      <c r="R208" t="str">
        <f t="shared" si="13"/>
        <v/>
      </c>
    </row>
    <row r="209" spans="9:18" x14ac:dyDescent="0.3">
      <c r="I209" t="str">
        <f t="shared" si="11"/>
        <v/>
      </c>
      <c r="J209" t="str">
        <f t="shared" si="12"/>
        <v/>
      </c>
      <c r="K209" t="str">
        <f>IF(I209="","",IF(I209&lt;=Скали!$B$1,"да","не"))</f>
        <v/>
      </c>
      <c r="R209" t="str">
        <f t="shared" si="13"/>
        <v/>
      </c>
    </row>
    <row r="210" spans="9:18" x14ac:dyDescent="0.3">
      <c r="I210" t="str">
        <f t="shared" si="11"/>
        <v/>
      </c>
      <c r="J210" t="str">
        <f t="shared" si="12"/>
        <v/>
      </c>
      <c r="K210" t="str">
        <f>IF(I210="","",IF(I210&lt;=Скали!$B$1,"да","не"))</f>
        <v/>
      </c>
      <c r="R210" t="str">
        <f t="shared" si="13"/>
        <v/>
      </c>
    </row>
  </sheetData>
  <conditionalFormatting sqref="I14:I210">
    <cfRule type="cellIs" dxfId="23" priority="6" operator="between">
      <formula>1</formula>
      <formula>4</formula>
    </cfRule>
    <cfRule type="cellIs" dxfId="22" priority="7" operator="between">
      <formula>5</formula>
      <formula>9</formula>
    </cfRule>
    <cfRule type="cellIs" dxfId="21" priority="8" operator="between">
      <formula>10</formula>
      <formula>15</formula>
    </cfRule>
    <cfRule type="cellIs" dxfId="20" priority="9" operator="between">
      <formula>16</formula>
      <formula>25</formula>
    </cfRule>
  </conditionalFormatting>
  <conditionalFormatting sqref="R2:R210">
    <cfRule type="cellIs" dxfId="19" priority="10" operator="between">
      <formula>1</formula>
      <formula>4</formula>
    </cfRule>
    <cfRule type="cellIs" dxfId="18" priority="11" operator="between">
      <formula>5</formula>
      <formula>9</formula>
    </cfRule>
    <cfRule type="cellIs" dxfId="17" priority="12" operator="between">
      <formula>10</formula>
      <formula>15</formula>
    </cfRule>
    <cfRule type="cellIs" dxfId="16" priority="13" operator="between">
      <formula>16</formula>
      <formula>25</formula>
    </cfRule>
  </conditionalFormatting>
  <conditionalFormatting sqref="I2:I13">
    <cfRule type="cellIs" dxfId="15" priority="1" operator="between">
      <formula>1</formula>
      <formula>4</formula>
    </cfRule>
    <cfRule type="cellIs" dxfId="14" priority="2" operator="between">
      <formula>5</formula>
      <formula>9</formula>
    </cfRule>
    <cfRule type="cellIs" dxfId="13" priority="3" operator="between">
      <formula>10</formula>
      <formula>15</formula>
    </cfRule>
    <cfRule type="cellIs" dxfId="12" priority="4" operator="between">
      <formula>16</formula>
      <formula>25</formula>
    </cfRule>
  </conditionalFormatting>
  <dataValidations count="2">
    <dataValidation type="list" allowBlank="1" sqref="P2:Q210 G2:H210">
      <formula1>"1,2,3,4,5"</formula1>
      <formula2>0</formula2>
    </dataValidation>
    <dataValidation type="list" allowBlank="1" sqref="L2:L210">
      <formula1>"намаляване,прехвърляне,избягване,приемане"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0"/>
  <sheetViews>
    <sheetView zoomScaleNormal="100" workbookViewId="0">
      <pane ySplit="1" topLeftCell="A5" activePane="bottomLeft" state="frozen"/>
      <selection pane="bottomLeft" activeCell="F15" sqref="F15"/>
    </sheetView>
  </sheetViews>
  <sheetFormatPr defaultColWidth="8.6640625" defaultRowHeight="14.4" x14ac:dyDescent="0.3"/>
  <cols>
    <col min="1" max="1" width="8" customWidth="1"/>
    <col min="2" max="2" width="12" customWidth="1"/>
    <col min="3" max="3" width="34" customWidth="1"/>
    <col min="4" max="4" width="13" customWidth="1"/>
    <col min="5" max="5" width="18" customWidth="1"/>
    <col min="6" max="6" width="30" customWidth="1"/>
    <col min="7" max="7" width="14" customWidth="1"/>
    <col min="8" max="8" width="20" customWidth="1"/>
    <col min="9" max="11" width="12" customWidth="1"/>
    <col min="12" max="13" width="8" customWidth="1"/>
    <col min="14" max="14" width="11" customWidth="1"/>
    <col min="15" max="15" width="30" customWidth="1"/>
  </cols>
  <sheetData>
    <row r="1" spans="1:15" ht="30" customHeight="1" x14ac:dyDescent="0.3">
      <c r="A1" s="15" t="s">
        <v>108</v>
      </c>
      <c r="B1" s="15" t="s">
        <v>130</v>
      </c>
      <c r="C1" s="15" t="s">
        <v>131</v>
      </c>
      <c r="D1" s="15" t="s">
        <v>132</v>
      </c>
      <c r="E1" s="15" t="s">
        <v>133</v>
      </c>
      <c r="F1" s="15" t="s">
        <v>134</v>
      </c>
      <c r="G1" s="15" t="s">
        <v>135</v>
      </c>
      <c r="H1" s="15" t="s">
        <v>115</v>
      </c>
      <c r="I1" s="15" t="s">
        <v>116</v>
      </c>
      <c r="J1" s="15" t="s">
        <v>136</v>
      </c>
      <c r="K1" s="15" t="s">
        <v>137</v>
      </c>
      <c r="L1" s="15" t="s">
        <v>118</v>
      </c>
      <c r="M1" s="15" t="s">
        <v>119</v>
      </c>
      <c r="N1" s="15" t="s">
        <v>120</v>
      </c>
      <c r="O1" s="15" t="s">
        <v>138</v>
      </c>
    </row>
    <row r="2" spans="1:15" ht="39.6" x14ac:dyDescent="0.3">
      <c r="A2" s="16" t="s">
        <v>194</v>
      </c>
      <c r="B2" s="16" t="s">
        <v>100</v>
      </c>
      <c r="C2" s="16" t="s">
        <v>262</v>
      </c>
      <c r="D2" s="19">
        <f>IFERROR(INDEX('[1]Регистър на риска'!$I:$I,MATCH(A2,'[1]Регистър на риска'!$A:$A,0)),"")</f>
        <v>16</v>
      </c>
      <c r="E2" s="16" t="s">
        <v>123</v>
      </c>
      <c r="F2" s="16" t="s">
        <v>263</v>
      </c>
      <c r="G2" s="16" t="s">
        <v>264</v>
      </c>
      <c r="H2" s="16" t="s">
        <v>93</v>
      </c>
      <c r="I2" s="16" t="s">
        <v>124</v>
      </c>
      <c r="J2" s="16" t="s">
        <v>125</v>
      </c>
      <c r="K2" s="16" t="s">
        <v>140</v>
      </c>
      <c r="L2" s="16">
        <v>2</v>
      </c>
      <c r="M2" s="16">
        <v>4</v>
      </c>
      <c r="N2" s="18">
        <f t="shared" ref="N2:N65" si="0">IF(OR(L2="",M2=""),"",L2*M2)</f>
        <v>8</v>
      </c>
      <c r="O2" s="17" t="s">
        <v>141</v>
      </c>
    </row>
    <row r="3" spans="1:15" ht="39.6" x14ac:dyDescent="0.3">
      <c r="A3" s="16" t="s">
        <v>200</v>
      </c>
      <c r="B3" s="16" t="s">
        <v>91</v>
      </c>
      <c r="C3" s="16" t="s">
        <v>265</v>
      </c>
      <c r="D3" s="19">
        <f>IFERROR(INDEX('[1]Регистър на риска'!$I:$I,MATCH(A3,'[1]Регистър на риска'!$A:$A,0)),"")</f>
        <v>12</v>
      </c>
      <c r="E3" s="16" t="s">
        <v>123</v>
      </c>
      <c r="F3" s="16" t="s">
        <v>266</v>
      </c>
      <c r="G3" s="16" t="s">
        <v>267</v>
      </c>
      <c r="H3" s="16" t="s">
        <v>154</v>
      </c>
      <c r="I3" s="16" t="s">
        <v>99</v>
      </c>
      <c r="J3" s="16" t="s">
        <v>99</v>
      </c>
      <c r="K3" s="16" t="s">
        <v>142</v>
      </c>
      <c r="L3" s="16">
        <v>2</v>
      </c>
      <c r="M3" s="16">
        <v>2</v>
      </c>
      <c r="N3" s="18">
        <f t="shared" si="0"/>
        <v>4</v>
      </c>
      <c r="O3" s="17" t="s">
        <v>143</v>
      </c>
    </row>
    <row r="4" spans="1:15" ht="26.4" x14ac:dyDescent="0.3">
      <c r="A4" s="16" t="s">
        <v>206</v>
      </c>
      <c r="B4" s="16" t="s">
        <v>96</v>
      </c>
      <c r="C4" s="16" t="s">
        <v>268</v>
      </c>
      <c r="D4" s="19">
        <f>IFERROR(INDEX('[1]Регистър на риска'!$I:$I,MATCH(A4,'[1]Регистър на риска'!$A:$A,0)),"")</f>
        <v>10</v>
      </c>
      <c r="E4" s="16" t="s">
        <v>123</v>
      </c>
      <c r="F4" s="16" t="s">
        <v>269</v>
      </c>
      <c r="G4" s="16" t="s">
        <v>139</v>
      </c>
      <c r="H4" s="16" t="s">
        <v>154</v>
      </c>
      <c r="I4" s="16"/>
      <c r="J4" s="16"/>
      <c r="K4" s="16"/>
      <c r="L4" s="16"/>
      <c r="M4" s="16"/>
      <c r="N4" s="18" t="str">
        <f t="shared" si="0"/>
        <v/>
      </c>
      <c r="O4" s="16"/>
    </row>
    <row r="5" spans="1:15" ht="39.6" x14ac:dyDescent="0.3">
      <c r="A5" s="16" t="s">
        <v>122</v>
      </c>
      <c r="B5" s="16" t="s">
        <v>170</v>
      </c>
      <c r="C5" s="16" t="s">
        <v>270</v>
      </c>
      <c r="D5" s="19">
        <f>IFERROR(INDEX('[1]Регистър на риска'!$I:$I,MATCH(A5,'[1]Регистър на риска'!$A:$A,0)),"")</f>
        <v>12</v>
      </c>
      <c r="E5" s="16" t="s">
        <v>123</v>
      </c>
      <c r="F5" s="16" t="s">
        <v>271</v>
      </c>
      <c r="G5" s="16" t="s">
        <v>272</v>
      </c>
      <c r="H5" s="16" t="s">
        <v>154</v>
      </c>
      <c r="I5" s="16"/>
      <c r="J5" s="16"/>
      <c r="K5" s="16"/>
      <c r="L5" s="16"/>
      <c r="M5" s="16"/>
      <c r="N5" s="18" t="str">
        <f t="shared" si="0"/>
        <v/>
      </c>
      <c r="O5" s="16"/>
    </row>
    <row r="6" spans="1:15" ht="52.8" x14ac:dyDescent="0.3">
      <c r="A6" s="16" t="s">
        <v>217</v>
      </c>
      <c r="B6" s="16" t="s">
        <v>104</v>
      </c>
      <c r="C6" s="16" t="s">
        <v>273</v>
      </c>
      <c r="D6" s="19">
        <f>IFERROR(INDEX('[1]Регистър на риска'!$I:$I,MATCH(A6,'[1]Регистър на риска'!$A:$A,0)),"")</f>
        <v>10</v>
      </c>
      <c r="E6" s="16" t="s">
        <v>123</v>
      </c>
      <c r="F6" s="16" t="s">
        <v>274</v>
      </c>
      <c r="G6" s="16" t="s">
        <v>275</v>
      </c>
      <c r="H6" s="16" t="s">
        <v>154</v>
      </c>
      <c r="I6" s="16"/>
      <c r="J6" s="16"/>
      <c r="K6" s="16"/>
      <c r="L6" s="16"/>
      <c r="M6" s="16"/>
      <c r="N6" s="18" t="str">
        <f t="shared" si="0"/>
        <v/>
      </c>
      <c r="O6" s="16"/>
    </row>
    <row r="7" spans="1:15" ht="39.6" x14ac:dyDescent="0.3">
      <c r="A7" s="16" t="s">
        <v>223</v>
      </c>
      <c r="B7" s="16" t="s">
        <v>164</v>
      </c>
      <c r="C7" s="16" t="s">
        <v>276</v>
      </c>
      <c r="D7" s="19">
        <f>IFERROR(INDEX('[1]Регистър на риска'!$I:$I,MATCH(A7,'[1]Регистър на риска'!$A:$A,0)),"")</f>
        <v>12</v>
      </c>
      <c r="E7" s="16" t="s">
        <v>123</v>
      </c>
      <c r="F7" s="16" t="s">
        <v>277</v>
      </c>
      <c r="G7" s="16" t="s">
        <v>278</v>
      </c>
      <c r="H7" s="16" t="s">
        <v>166</v>
      </c>
      <c r="I7" s="16"/>
      <c r="J7" s="16"/>
      <c r="K7" s="16"/>
      <c r="L7" s="16"/>
      <c r="M7" s="16"/>
      <c r="N7" s="18" t="str">
        <f t="shared" si="0"/>
        <v/>
      </c>
      <c r="O7" s="16"/>
    </row>
    <row r="8" spans="1:15" x14ac:dyDescent="0.3">
      <c r="A8" s="16" t="s">
        <v>127</v>
      </c>
      <c r="B8" s="16" t="s">
        <v>181</v>
      </c>
      <c r="C8" s="16" t="s">
        <v>279</v>
      </c>
      <c r="D8" s="19">
        <f>IFERROR(INDEX('[1]Регистър на риска'!$I:$I,MATCH(A8,'[1]Регистър на риска'!$A:$A,0)),"")</f>
        <v>6</v>
      </c>
      <c r="E8" s="16" t="s">
        <v>128</v>
      </c>
      <c r="F8" s="16" t="s">
        <v>99</v>
      </c>
      <c r="G8" s="16" t="s">
        <v>99</v>
      </c>
      <c r="H8" s="16" t="s">
        <v>107</v>
      </c>
      <c r="I8" s="16"/>
      <c r="J8" s="16"/>
      <c r="K8" s="16"/>
      <c r="L8" s="16"/>
      <c r="M8" s="16"/>
      <c r="N8" s="18" t="str">
        <f t="shared" si="0"/>
        <v/>
      </c>
      <c r="O8" s="16"/>
    </row>
    <row r="9" spans="1:15" ht="26.4" x14ac:dyDescent="0.3">
      <c r="A9" s="16" t="s">
        <v>234</v>
      </c>
      <c r="B9" s="16" t="s">
        <v>189</v>
      </c>
      <c r="C9" s="16" t="s">
        <v>280</v>
      </c>
      <c r="D9" s="19">
        <f>IFERROR(INDEX('[1]Регистър на риска'!$I:$I,MATCH(A9,'[1]Регистър на риска'!$A:$A,0)),"")</f>
        <v>9</v>
      </c>
      <c r="E9" s="16" t="s">
        <v>128</v>
      </c>
      <c r="F9" s="16" t="s">
        <v>99</v>
      </c>
      <c r="G9" s="16" t="s">
        <v>99</v>
      </c>
      <c r="H9" s="16" t="s">
        <v>107</v>
      </c>
      <c r="I9" s="16"/>
      <c r="J9" s="16"/>
      <c r="K9" s="16"/>
      <c r="L9" s="16"/>
      <c r="M9" s="16"/>
      <c r="N9" s="18" t="str">
        <f t="shared" si="0"/>
        <v/>
      </c>
      <c r="O9" s="16"/>
    </row>
    <row r="10" spans="1:15" ht="26.4" x14ac:dyDescent="0.3">
      <c r="A10" s="16" t="s">
        <v>240</v>
      </c>
      <c r="B10" s="16" t="s">
        <v>192</v>
      </c>
      <c r="C10" s="16" t="s">
        <v>281</v>
      </c>
      <c r="D10" s="19">
        <f>IFERROR(INDEX('[1]Регистър на риска'!$I:$I,MATCH(A10,'[1]Регистър на риска'!$A:$A,0)),"")</f>
        <v>3</v>
      </c>
      <c r="E10" s="16" t="s">
        <v>128</v>
      </c>
      <c r="F10" s="16" t="s">
        <v>99</v>
      </c>
      <c r="G10" s="16" t="s">
        <v>99</v>
      </c>
      <c r="H10" s="16" t="s">
        <v>166</v>
      </c>
      <c r="I10" s="16"/>
      <c r="J10" s="16"/>
      <c r="K10" s="16"/>
      <c r="L10" s="16"/>
      <c r="M10" s="16"/>
      <c r="N10" s="18" t="str">
        <f t="shared" si="0"/>
        <v/>
      </c>
      <c r="O10" s="16"/>
    </row>
    <row r="11" spans="1:15" ht="39.6" x14ac:dyDescent="0.3">
      <c r="A11" s="16" t="s">
        <v>246</v>
      </c>
      <c r="B11" s="16" t="s">
        <v>91</v>
      </c>
      <c r="C11" s="16" t="s">
        <v>282</v>
      </c>
      <c r="D11" s="19">
        <f>IFERROR(INDEX('[1]Регистър на риска'!$I:$I,MATCH(A11,'[1]Регистър на риска'!$A:$A,0)),"")</f>
        <v>12</v>
      </c>
      <c r="E11" s="16" t="s">
        <v>123</v>
      </c>
      <c r="F11" s="16" t="s">
        <v>283</v>
      </c>
      <c r="G11" s="16" t="s">
        <v>284</v>
      </c>
      <c r="H11" s="16" t="s">
        <v>94</v>
      </c>
      <c r="I11" s="16"/>
      <c r="J11" s="16"/>
      <c r="K11" s="16"/>
      <c r="L11" s="16"/>
      <c r="M11" s="16"/>
      <c r="N11" s="18" t="str">
        <f t="shared" si="0"/>
        <v/>
      </c>
      <c r="O11" s="16"/>
    </row>
    <row r="12" spans="1:15" x14ac:dyDescent="0.3">
      <c r="A12" s="16" t="s">
        <v>250</v>
      </c>
      <c r="B12" s="16" t="s">
        <v>184</v>
      </c>
      <c r="C12" s="16" t="s">
        <v>285</v>
      </c>
      <c r="D12" s="19">
        <f>IFERROR(INDEX('[1]Регистър на риска'!$I:$I,MATCH(A12,'[1]Регистър на риска'!$A:$A,0)),"")</f>
        <v>6</v>
      </c>
      <c r="E12" s="16" t="s">
        <v>128</v>
      </c>
      <c r="F12" s="16" t="s">
        <v>99</v>
      </c>
      <c r="G12" s="16" t="s">
        <v>99</v>
      </c>
      <c r="H12" s="16" t="s">
        <v>93</v>
      </c>
      <c r="I12" s="16"/>
      <c r="J12" s="16"/>
      <c r="K12" s="16"/>
      <c r="L12" s="16"/>
      <c r="M12" s="16"/>
      <c r="N12" s="18" t="str">
        <f t="shared" si="0"/>
        <v/>
      </c>
      <c r="O12" s="16"/>
    </row>
    <row r="13" spans="1:15" x14ac:dyDescent="0.3">
      <c r="A13" s="16" t="s">
        <v>256</v>
      </c>
      <c r="B13" s="16" t="s">
        <v>102</v>
      </c>
      <c r="C13" s="16" t="s">
        <v>286</v>
      </c>
      <c r="D13" s="19">
        <f>IFERROR(INDEX('[1]Регистър на риска'!$I:$I,MATCH(A13,'[1]Регистър на риска'!$A:$A,0)),"")</f>
        <v>4</v>
      </c>
      <c r="E13" s="16" t="s">
        <v>128</v>
      </c>
      <c r="F13" s="16" t="s">
        <v>99</v>
      </c>
      <c r="G13" s="16" t="s">
        <v>99</v>
      </c>
      <c r="H13" s="16" t="s">
        <v>93</v>
      </c>
      <c r="I13" s="16"/>
      <c r="J13" s="16"/>
      <c r="K13" s="16"/>
      <c r="L13" s="16"/>
      <c r="M13" s="16"/>
      <c r="N13" s="18" t="str">
        <f t="shared" si="0"/>
        <v/>
      </c>
      <c r="O13" s="16"/>
    </row>
    <row r="14" spans="1:15" x14ac:dyDescent="0.3">
      <c r="A14" s="16"/>
      <c r="B14" s="16"/>
      <c r="C14" s="16"/>
      <c r="D14" s="18" t="str">
        <f>IFERROR(INDEX('Регистър на риска'!$I:$I,MATCH(A14,'Регистър на риска'!$A:$A,0)),"")</f>
        <v/>
      </c>
      <c r="E14" s="16"/>
      <c r="F14" s="16"/>
      <c r="G14" s="16"/>
      <c r="H14" s="16"/>
      <c r="I14" s="16"/>
      <c r="J14" s="16"/>
      <c r="K14" s="16"/>
      <c r="L14" s="16"/>
      <c r="M14" s="16"/>
      <c r="N14" s="18" t="str">
        <f t="shared" si="0"/>
        <v/>
      </c>
      <c r="O14" s="16"/>
    </row>
    <row r="15" spans="1:15" x14ac:dyDescent="0.3">
      <c r="A15" s="16"/>
      <c r="B15" s="16"/>
      <c r="C15" s="16"/>
      <c r="D15" s="18" t="str">
        <f>IFERROR(INDEX('Регистър на риска'!$I:$I,MATCH(A15,'Регистър на риска'!$A:$A,0)),"")</f>
        <v/>
      </c>
      <c r="E15" s="16"/>
      <c r="F15" s="16"/>
      <c r="G15" s="16"/>
      <c r="H15" s="16"/>
      <c r="I15" s="16"/>
      <c r="J15" s="16"/>
      <c r="K15" s="16"/>
      <c r="L15" s="16"/>
      <c r="M15" s="16"/>
      <c r="N15" s="18" t="str">
        <f t="shared" si="0"/>
        <v/>
      </c>
      <c r="O15" s="16"/>
    </row>
    <row r="16" spans="1:15" x14ac:dyDescent="0.3">
      <c r="A16" s="16"/>
      <c r="B16" s="16"/>
      <c r="C16" s="16"/>
      <c r="D16" s="18" t="str">
        <f>IFERROR(INDEX('Регистър на риска'!$I:$I,MATCH(A16,'Регистър на риска'!$A:$A,0)),"")</f>
        <v/>
      </c>
      <c r="E16" s="16"/>
      <c r="F16" s="16"/>
      <c r="G16" s="16"/>
      <c r="H16" s="16"/>
      <c r="I16" s="16"/>
      <c r="J16" s="16"/>
      <c r="K16" s="16"/>
      <c r="L16" s="16"/>
      <c r="M16" s="16"/>
      <c r="N16" s="18" t="str">
        <f t="shared" si="0"/>
        <v/>
      </c>
      <c r="O16" s="16"/>
    </row>
    <row r="17" spans="1:15" x14ac:dyDescent="0.3">
      <c r="A17" s="16"/>
      <c r="B17" s="16"/>
      <c r="C17" s="16"/>
      <c r="D17" s="18" t="str">
        <f>IFERROR(INDEX('Регистър на риска'!$I:$I,MATCH(A17,'Регистър на риска'!$A:$A,0)),"")</f>
        <v/>
      </c>
      <c r="E17" s="16"/>
      <c r="F17" s="16"/>
      <c r="G17" s="16"/>
      <c r="H17" s="16"/>
      <c r="I17" s="16"/>
      <c r="J17" s="16"/>
      <c r="K17" s="16"/>
      <c r="L17" s="16"/>
      <c r="M17" s="16"/>
      <c r="N17" s="18" t="str">
        <f t="shared" si="0"/>
        <v/>
      </c>
      <c r="O17" s="16"/>
    </row>
    <row r="18" spans="1:15" x14ac:dyDescent="0.3">
      <c r="A18" s="16"/>
      <c r="B18" s="16"/>
      <c r="C18" s="16"/>
      <c r="D18" s="18" t="str">
        <f>IFERROR(INDEX('Регистър на риска'!$I:$I,MATCH(A18,'Регистър на риска'!$A:$A,0)),"")</f>
        <v/>
      </c>
      <c r="E18" s="16"/>
      <c r="F18" s="16"/>
      <c r="G18" s="16"/>
      <c r="H18" s="16"/>
      <c r="I18" s="16"/>
      <c r="J18" s="16"/>
      <c r="K18" s="16"/>
      <c r="L18" s="16"/>
      <c r="M18" s="16"/>
      <c r="N18" s="18" t="str">
        <f t="shared" si="0"/>
        <v/>
      </c>
      <c r="O18" s="16"/>
    </row>
    <row r="19" spans="1:15" x14ac:dyDescent="0.3">
      <c r="A19" s="16"/>
      <c r="B19" s="16"/>
      <c r="C19" s="16"/>
      <c r="D19" s="18" t="str">
        <f>IFERROR(INDEX('Регистър на риска'!$I:$I,MATCH(A19,'Регистър на риска'!$A:$A,0)),"")</f>
        <v/>
      </c>
      <c r="E19" s="16"/>
      <c r="F19" s="16"/>
      <c r="G19" s="16"/>
      <c r="H19" s="16"/>
      <c r="I19" s="16"/>
      <c r="J19" s="16"/>
      <c r="K19" s="16"/>
      <c r="L19" s="16"/>
      <c r="M19" s="16"/>
      <c r="N19" s="18" t="str">
        <f t="shared" si="0"/>
        <v/>
      </c>
      <c r="O19" s="16"/>
    </row>
    <row r="20" spans="1:15" x14ac:dyDescent="0.3">
      <c r="A20" s="16"/>
      <c r="B20" s="16"/>
      <c r="C20" s="16"/>
      <c r="D20" s="18" t="str">
        <f>IFERROR(INDEX('Регистър на риска'!$I:$I,MATCH(A20,'Регистър на риска'!$A:$A,0)),"")</f>
        <v/>
      </c>
      <c r="E20" s="16"/>
      <c r="F20" s="16"/>
      <c r="G20" s="16"/>
      <c r="H20" s="16"/>
      <c r="I20" s="16"/>
      <c r="J20" s="16"/>
      <c r="K20" s="16"/>
      <c r="L20" s="16"/>
      <c r="M20" s="16"/>
      <c r="N20" s="18" t="str">
        <f t="shared" si="0"/>
        <v/>
      </c>
      <c r="O20" s="16"/>
    </row>
    <row r="21" spans="1:15" x14ac:dyDescent="0.3">
      <c r="A21" s="16"/>
      <c r="B21" s="16"/>
      <c r="C21" s="16"/>
      <c r="D21" s="18" t="str">
        <f>IFERROR(INDEX('Регистър на риска'!$I:$I,MATCH(A21,'Регистър на риска'!$A:$A,0)),"")</f>
        <v/>
      </c>
      <c r="E21" s="16"/>
      <c r="F21" s="16"/>
      <c r="G21" s="16"/>
      <c r="H21" s="16"/>
      <c r="I21" s="16"/>
      <c r="J21" s="16"/>
      <c r="K21" s="16"/>
      <c r="L21" s="16"/>
      <c r="M21" s="16"/>
      <c r="N21" s="18" t="str">
        <f t="shared" si="0"/>
        <v/>
      </c>
      <c r="O21" s="16"/>
    </row>
    <row r="22" spans="1:15" x14ac:dyDescent="0.3">
      <c r="A22" s="16"/>
      <c r="B22" s="16"/>
      <c r="C22" s="16"/>
      <c r="D22" s="18" t="str">
        <f>IFERROR(INDEX('Регистър на риска'!$I:$I,MATCH(A22,'Регистър на риска'!$A:$A,0)),"")</f>
        <v/>
      </c>
      <c r="E22" s="16"/>
      <c r="F22" s="16"/>
      <c r="G22" s="16"/>
      <c r="H22" s="16"/>
      <c r="I22" s="16"/>
      <c r="J22" s="16"/>
      <c r="K22" s="16"/>
      <c r="L22" s="16"/>
      <c r="M22" s="16"/>
      <c r="N22" s="18" t="str">
        <f t="shared" si="0"/>
        <v/>
      </c>
      <c r="O22" s="16"/>
    </row>
    <row r="23" spans="1:15" x14ac:dyDescent="0.3">
      <c r="A23" s="16"/>
      <c r="B23" s="16"/>
      <c r="C23" s="16"/>
      <c r="D23" s="18" t="str">
        <f>IFERROR(INDEX('Регистър на риска'!$I:$I,MATCH(A23,'Регистър на риска'!$A:$A,0)),"")</f>
        <v/>
      </c>
      <c r="E23" s="16"/>
      <c r="F23" s="16"/>
      <c r="G23" s="16"/>
      <c r="H23" s="16"/>
      <c r="I23" s="16"/>
      <c r="J23" s="16"/>
      <c r="K23" s="16"/>
      <c r="L23" s="16"/>
      <c r="M23" s="16"/>
      <c r="N23" s="18" t="str">
        <f t="shared" si="0"/>
        <v/>
      </c>
      <c r="O23" s="16"/>
    </row>
    <row r="24" spans="1:15" x14ac:dyDescent="0.3">
      <c r="A24" s="16"/>
      <c r="B24" s="16"/>
      <c r="C24" s="16"/>
      <c r="D24" s="18" t="str">
        <f>IFERROR(INDEX('Регистър на риска'!$I:$I,MATCH(A24,'Регистър на риска'!$A:$A,0)),"")</f>
        <v/>
      </c>
      <c r="E24" s="16"/>
      <c r="F24" s="16"/>
      <c r="G24" s="16"/>
      <c r="H24" s="16"/>
      <c r="I24" s="16"/>
      <c r="J24" s="16"/>
      <c r="K24" s="16"/>
      <c r="L24" s="16"/>
      <c r="M24" s="16"/>
      <c r="N24" s="18" t="str">
        <f t="shared" si="0"/>
        <v/>
      </c>
      <c r="O24" s="16"/>
    </row>
    <row r="25" spans="1:15" x14ac:dyDescent="0.3">
      <c r="A25" s="16"/>
      <c r="B25" s="16"/>
      <c r="C25" s="16"/>
      <c r="D25" s="18" t="str">
        <f>IFERROR(INDEX('Регистър на риска'!$I:$I,MATCH(A25,'Регистър на риска'!$A:$A,0)),"")</f>
        <v/>
      </c>
      <c r="E25" s="16"/>
      <c r="F25" s="16"/>
      <c r="G25" s="16"/>
      <c r="H25" s="16"/>
      <c r="I25" s="16"/>
      <c r="J25" s="16"/>
      <c r="K25" s="16"/>
      <c r="L25" s="16"/>
      <c r="M25" s="16"/>
      <c r="N25" s="18" t="str">
        <f t="shared" si="0"/>
        <v/>
      </c>
      <c r="O25" s="16"/>
    </row>
    <row r="26" spans="1:15" x14ac:dyDescent="0.3">
      <c r="A26" s="16"/>
      <c r="B26" s="16"/>
      <c r="C26" s="16"/>
      <c r="D26" s="18" t="str">
        <f>IFERROR(INDEX('Регистър на риска'!$I:$I,MATCH(A26,'Регистър на риска'!$A:$A,0)),"")</f>
        <v/>
      </c>
      <c r="E26" s="16"/>
      <c r="F26" s="16"/>
      <c r="G26" s="16"/>
      <c r="H26" s="16"/>
      <c r="I26" s="16"/>
      <c r="J26" s="16"/>
      <c r="K26" s="16"/>
      <c r="L26" s="16"/>
      <c r="M26" s="16"/>
      <c r="N26" s="18" t="str">
        <f t="shared" si="0"/>
        <v/>
      </c>
      <c r="O26" s="16"/>
    </row>
    <row r="27" spans="1:15" x14ac:dyDescent="0.3">
      <c r="A27" s="16"/>
      <c r="B27" s="16"/>
      <c r="C27" s="16"/>
      <c r="D27" s="18" t="str">
        <f>IFERROR(INDEX('Регистър на риска'!$I:$I,MATCH(A27,'Регистър на риска'!$A:$A,0)),"")</f>
        <v/>
      </c>
      <c r="E27" s="16"/>
      <c r="F27" s="16"/>
      <c r="G27" s="16"/>
      <c r="H27" s="16"/>
      <c r="I27" s="16"/>
      <c r="J27" s="16"/>
      <c r="K27" s="16"/>
      <c r="L27" s="16"/>
      <c r="M27" s="16"/>
      <c r="N27" s="18" t="str">
        <f t="shared" si="0"/>
        <v/>
      </c>
      <c r="O27" s="16"/>
    </row>
    <row r="28" spans="1:15" x14ac:dyDescent="0.3">
      <c r="A28" s="16"/>
      <c r="B28" s="16"/>
      <c r="C28" s="16"/>
      <c r="D28" s="18" t="str">
        <f>IFERROR(INDEX('Регистър на риска'!$I:$I,MATCH(A28,'Регистър на риска'!$A:$A,0)),"")</f>
        <v/>
      </c>
      <c r="E28" s="16"/>
      <c r="F28" s="16"/>
      <c r="G28" s="16"/>
      <c r="H28" s="16"/>
      <c r="I28" s="16"/>
      <c r="J28" s="16"/>
      <c r="K28" s="16"/>
      <c r="L28" s="16"/>
      <c r="M28" s="16"/>
      <c r="N28" s="18" t="str">
        <f t="shared" si="0"/>
        <v/>
      </c>
      <c r="O28" s="16"/>
    </row>
    <row r="29" spans="1:15" x14ac:dyDescent="0.3">
      <c r="A29" s="16"/>
      <c r="B29" s="16"/>
      <c r="C29" s="16"/>
      <c r="D29" s="18" t="str">
        <f>IFERROR(INDEX('Регистър на риска'!$I:$I,MATCH(A29,'Регистър на риска'!$A:$A,0)),"")</f>
        <v/>
      </c>
      <c r="E29" s="16"/>
      <c r="F29" s="16"/>
      <c r="G29" s="16"/>
      <c r="H29" s="16"/>
      <c r="I29" s="16"/>
      <c r="J29" s="16"/>
      <c r="K29" s="16"/>
      <c r="L29" s="16"/>
      <c r="M29" s="16"/>
      <c r="N29" s="18" t="str">
        <f t="shared" si="0"/>
        <v/>
      </c>
      <c r="O29" s="16"/>
    </row>
    <row r="30" spans="1:15" x14ac:dyDescent="0.3">
      <c r="A30" s="16"/>
      <c r="B30" s="16"/>
      <c r="C30" s="16"/>
      <c r="D30" s="18" t="str">
        <f>IFERROR(INDEX('Регистър на риска'!$I:$I,MATCH(A30,'Регистър на риска'!$A:$A,0)),"")</f>
        <v/>
      </c>
      <c r="E30" s="16"/>
      <c r="F30" s="16"/>
      <c r="G30" s="16"/>
      <c r="H30" s="16"/>
      <c r="I30" s="16"/>
      <c r="J30" s="16"/>
      <c r="K30" s="16"/>
      <c r="L30" s="16"/>
      <c r="M30" s="16"/>
      <c r="N30" s="18" t="str">
        <f t="shared" si="0"/>
        <v/>
      </c>
      <c r="O30" s="16"/>
    </row>
    <row r="31" spans="1:15" x14ac:dyDescent="0.3">
      <c r="A31" s="16"/>
      <c r="B31" s="16"/>
      <c r="C31" s="16"/>
      <c r="D31" s="18" t="str">
        <f>IFERROR(INDEX('Регистър на риска'!$I:$I,MATCH(A31,'Регистър на риска'!$A:$A,0)),"")</f>
        <v/>
      </c>
      <c r="E31" s="16"/>
      <c r="F31" s="16"/>
      <c r="G31" s="16"/>
      <c r="H31" s="16"/>
      <c r="I31" s="16"/>
      <c r="J31" s="16"/>
      <c r="K31" s="16"/>
      <c r="L31" s="16"/>
      <c r="M31" s="16"/>
      <c r="N31" s="18" t="str">
        <f t="shared" si="0"/>
        <v/>
      </c>
      <c r="O31" s="16"/>
    </row>
    <row r="32" spans="1:15" x14ac:dyDescent="0.3">
      <c r="A32" s="16"/>
      <c r="B32" s="16"/>
      <c r="C32" s="16"/>
      <c r="D32" s="18" t="str">
        <f>IFERROR(INDEX('Регистър на риска'!$I:$I,MATCH(A32,'Регистър на риска'!$A:$A,0)),"")</f>
        <v/>
      </c>
      <c r="E32" s="16"/>
      <c r="F32" s="16"/>
      <c r="G32" s="16"/>
      <c r="H32" s="16"/>
      <c r="I32" s="16"/>
      <c r="J32" s="16"/>
      <c r="K32" s="16"/>
      <c r="L32" s="16"/>
      <c r="M32" s="16"/>
      <c r="N32" s="18" t="str">
        <f t="shared" si="0"/>
        <v/>
      </c>
      <c r="O32" s="16"/>
    </row>
    <row r="33" spans="1:15" x14ac:dyDescent="0.3">
      <c r="A33" s="16"/>
      <c r="B33" s="16"/>
      <c r="C33" s="16"/>
      <c r="D33" s="18" t="str">
        <f>IFERROR(INDEX('Регистър на риска'!$I:$I,MATCH(A33,'Регистър на риска'!$A:$A,0)),"")</f>
        <v/>
      </c>
      <c r="E33" s="16"/>
      <c r="F33" s="16"/>
      <c r="G33" s="16"/>
      <c r="H33" s="16"/>
      <c r="I33" s="16"/>
      <c r="J33" s="16"/>
      <c r="K33" s="16"/>
      <c r="L33" s="16"/>
      <c r="M33" s="16"/>
      <c r="N33" s="18" t="str">
        <f t="shared" si="0"/>
        <v/>
      </c>
      <c r="O33" s="16"/>
    </row>
    <row r="34" spans="1:15" x14ac:dyDescent="0.3">
      <c r="A34" s="16"/>
      <c r="B34" s="16"/>
      <c r="C34" s="16"/>
      <c r="D34" s="18" t="str">
        <f>IFERROR(INDEX('Регистър на риска'!$I:$I,MATCH(A34,'Регистър на риска'!$A:$A,0)),"")</f>
        <v/>
      </c>
      <c r="E34" s="16"/>
      <c r="F34" s="16"/>
      <c r="G34" s="16"/>
      <c r="H34" s="16"/>
      <c r="I34" s="16"/>
      <c r="J34" s="16"/>
      <c r="K34" s="16"/>
      <c r="L34" s="16"/>
      <c r="M34" s="16"/>
      <c r="N34" s="18" t="str">
        <f t="shared" si="0"/>
        <v/>
      </c>
      <c r="O34" s="16"/>
    </row>
    <row r="35" spans="1:15" x14ac:dyDescent="0.3">
      <c r="A35" s="16"/>
      <c r="B35" s="16"/>
      <c r="C35" s="16"/>
      <c r="D35" s="18" t="str">
        <f>IFERROR(INDEX('Регистър на риска'!$I:$I,MATCH(A35,'Регистър на риска'!$A:$A,0)),"")</f>
        <v/>
      </c>
      <c r="E35" s="16"/>
      <c r="F35" s="16"/>
      <c r="G35" s="16"/>
      <c r="H35" s="16"/>
      <c r="I35" s="16"/>
      <c r="J35" s="16"/>
      <c r="K35" s="16"/>
      <c r="L35" s="16"/>
      <c r="M35" s="16"/>
      <c r="N35" s="18" t="str">
        <f t="shared" si="0"/>
        <v/>
      </c>
      <c r="O35" s="16"/>
    </row>
    <row r="36" spans="1:15" x14ac:dyDescent="0.3">
      <c r="A36" s="16"/>
      <c r="B36" s="16"/>
      <c r="C36" s="16"/>
      <c r="D36" s="18" t="str">
        <f>IFERROR(INDEX('Регистър на риска'!$I:$I,MATCH(A36,'Регистър на риска'!$A:$A,0)),"")</f>
        <v/>
      </c>
      <c r="E36" s="16"/>
      <c r="F36" s="16"/>
      <c r="G36" s="16"/>
      <c r="H36" s="16"/>
      <c r="I36" s="16"/>
      <c r="J36" s="16"/>
      <c r="K36" s="16"/>
      <c r="L36" s="16"/>
      <c r="M36" s="16"/>
      <c r="N36" s="18" t="str">
        <f t="shared" si="0"/>
        <v/>
      </c>
      <c r="O36" s="16"/>
    </row>
    <row r="37" spans="1:15" x14ac:dyDescent="0.3">
      <c r="A37" s="16"/>
      <c r="B37" s="16"/>
      <c r="C37" s="16"/>
      <c r="D37" s="18" t="str">
        <f>IFERROR(INDEX('Регистър на риска'!$I:$I,MATCH(A37,'Регистър на риска'!$A:$A,0)),"")</f>
        <v/>
      </c>
      <c r="E37" s="16"/>
      <c r="F37" s="16"/>
      <c r="G37" s="16"/>
      <c r="H37" s="16"/>
      <c r="I37" s="16"/>
      <c r="J37" s="16"/>
      <c r="K37" s="16"/>
      <c r="L37" s="16"/>
      <c r="M37" s="16"/>
      <c r="N37" s="18" t="str">
        <f t="shared" si="0"/>
        <v/>
      </c>
      <c r="O37" s="16"/>
    </row>
    <row r="38" spans="1:15" x14ac:dyDescent="0.3">
      <c r="A38" s="16"/>
      <c r="B38" s="16"/>
      <c r="C38" s="16"/>
      <c r="D38" s="18" t="str">
        <f>IFERROR(INDEX('Регистър на риска'!$I:$I,MATCH(A38,'Регистър на риска'!$A:$A,0)),"")</f>
        <v/>
      </c>
      <c r="E38" s="16"/>
      <c r="F38" s="16"/>
      <c r="G38" s="16"/>
      <c r="H38" s="16"/>
      <c r="I38" s="16"/>
      <c r="J38" s="16"/>
      <c r="K38" s="16"/>
      <c r="L38" s="16"/>
      <c r="M38" s="16"/>
      <c r="N38" s="18" t="str">
        <f t="shared" si="0"/>
        <v/>
      </c>
      <c r="O38" s="16"/>
    </row>
    <row r="39" spans="1:15" x14ac:dyDescent="0.3">
      <c r="A39" s="16"/>
      <c r="B39" s="16"/>
      <c r="C39" s="16"/>
      <c r="D39" s="18" t="str">
        <f>IFERROR(INDEX('Регистър на риска'!$I:$I,MATCH(A39,'Регистър на риска'!$A:$A,0)),"")</f>
        <v/>
      </c>
      <c r="E39" s="16"/>
      <c r="F39" s="16"/>
      <c r="G39" s="16"/>
      <c r="H39" s="16"/>
      <c r="I39" s="16"/>
      <c r="J39" s="16"/>
      <c r="K39" s="16"/>
      <c r="L39" s="16"/>
      <c r="M39" s="16"/>
      <c r="N39" s="18" t="str">
        <f t="shared" si="0"/>
        <v/>
      </c>
      <c r="O39" s="16"/>
    </row>
    <row r="40" spans="1:15" x14ac:dyDescent="0.3">
      <c r="A40" s="16"/>
      <c r="B40" s="16"/>
      <c r="C40" s="16"/>
      <c r="D40" s="18" t="str">
        <f>IFERROR(INDEX('Регистър на риска'!$I:$I,MATCH(A40,'Регистър на риска'!$A:$A,0)),"")</f>
        <v/>
      </c>
      <c r="E40" s="16"/>
      <c r="F40" s="16"/>
      <c r="G40" s="16"/>
      <c r="H40" s="16"/>
      <c r="I40" s="16"/>
      <c r="J40" s="16"/>
      <c r="K40" s="16"/>
      <c r="L40" s="16"/>
      <c r="M40" s="16"/>
      <c r="N40" s="18" t="str">
        <f t="shared" si="0"/>
        <v/>
      </c>
      <c r="O40" s="16"/>
    </row>
    <row r="41" spans="1:15" x14ac:dyDescent="0.3">
      <c r="A41" s="16"/>
      <c r="B41" s="16"/>
      <c r="C41" s="16"/>
      <c r="D41" s="18" t="str">
        <f>IFERROR(INDEX('Регистър на риска'!$I:$I,MATCH(A41,'Регистър на риска'!$A:$A,0)),"")</f>
        <v/>
      </c>
      <c r="E41" s="16"/>
      <c r="F41" s="16"/>
      <c r="G41" s="16"/>
      <c r="H41" s="16"/>
      <c r="I41" s="16"/>
      <c r="J41" s="16"/>
      <c r="K41" s="16"/>
      <c r="L41" s="16"/>
      <c r="M41" s="16"/>
      <c r="N41" s="18" t="str">
        <f t="shared" si="0"/>
        <v/>
      </c>
      <c r="O41" s="16"/>
    </row>
    <row r="42" spans="1:15" x14ac:dyDescent="0.3">
      <c r="A42" s="16"/>
      <c r="B42" s="16"/>
      <c r="C42" s="16"/>
      <c r="D42" s="18" t="str">
        <f>IFERROR(INDEX('Регистър на риска'!$I:$I,MATCH(A42,'Регистър на риска'!$A:$A,0)),"")</f>
        <v/>
      </c>
      <c r="E42" s="16"/>
      <c r="F42" s="16"/>
      <c r="G42" s="16"/>
      <c r="H42" s="16"/>
      <c r="I42" s="16"/>
      <c r="J42" s="16"/>
      <c r="K42" s="16"/>
      <c r="L42" s="16"/>
      <c r="M42" s="16"/>
      <c r="N42" s="18" t="str">
        <f t="shared" si="0"/>
        <v/>
      </c>
      <c r="O42" s="16"/>
    </row>
    <row r="43" spans="1:15" x14ac:dyDescent="0.3">
      <c r="A43" s="16"/>
      <c r="B43" s="16"/>
      <c r="C43" s="16"/>
      <c r="D43" s="18" t="str">
        <f>IFERROR(INDEX('Регистър на риска'!$I:$I,MATCH(A43,'Регистър на риска'!$A:$A,0)),"")</f>
        <v/>
      </c>
      <c r="E43" s="16"/>
      <c r="F43" s="16"/>
      <c r="G43" s="16"/>
      <c r="H43" s="16"/>
      <c r="I43" s="16"/>
      <c r="J43" s="16"/>
      <c r="K43" s="16"/>
      <c r="L43" s="16"/>
      <c r="M43" s="16"/>
      <c r="N43" s="18" t="str">
        <f t="shared" si="0"/>
        <v/>
      </c>
      <c r="O43" s="16"/>
    </row>
    <row r="44" spans="1:15" x14ac:dyDescent="0.3">
      <c r="A44" s="16"/>
      <c r="B44" s="16"/>
      <c r="C44" s="16"/>
      <c r="D44" s="18" t="str">
        <f>IFERROR(INDEX('Регистър на риска'!$I:$I,MATCH(A44,'Регистър на риска'!$A:$A,0)),"")</f>
        <v/>
      </c>
      <c r="E44" s="16"/>
      <c r="F44" s="16"/>
      <c r="G44" s="16"/>
      <c r="H44" s="16"/>
      <c r="I44" s="16"/>
      <c r="J44" s="16"/>
      <c r="K44" s="16"/>
      <c r="L44" s="16"/>
      <c r="M44" s="16"/>
      <c r="N44" s="18" t="str">
        <f t="shared" si="0"/>
        <v/>
      </c>
      <c r="O44" s="16"/>
    </row>
    <row r="45" spans="1:15" x14ac:dyDescent="0.3">
      <c r="A45" s="16"/>
      <c r="B45" s="16"/>
      <c r="C45" s="16"/>
      <c r="D45" s="18" t="str">
        <f>IFERROR(INDEX('Регистър на риска'!$I:$I,MATCH(A45,'Регистър на риска'!$A:$A,0)),"")</f>
        <v/>
      </c>
      <c r="E45" s="16"/>
      <c r="F45" s="16"/>
      <c r="G45" s="16"/>
      <c r="H45" s="16"/>
      <c r="I45" s="16"/>
      <c r="J45" s="16"/>
      <c r="K45" s="16"/>
      <c r="L45" s="16"/>
      <c r="M45" s="16"/>
      <c r="N45" s="18" t="str">
        <f t="shared" si="0"/>
        <v/>
      </c>
      <c r="O45" s="16"/>
    </row>
    <row r="46" spans="1:15" x14ac:dyDescent="0.3">
      <c r="A46" s="16"/>
      <c r="B46" s="16"/>
      <c r="C46" s="16"/>
      <c r="D46" s="18" t="str">
        <f>IFERROR(INDEX('Регистър на риска'!$I:$I,MATCH(A46,'Регистър на риска'!$A:$A,0)),"")</f>
        <v/>
      </c>
      <c r="E46" s="16"/>
      <c r="F46" s="16"/>
      <c r="G46" s="16"/>
      <c r="H46" s="16"/>
      <c r="I46" s="16"/>
      <c r="J46" s="16"/>
      <c r="K46" s="16"/>
      <c r="L46" s="16"/>
      <c r="M46" s="16"/>
      <c r="N46" s="18" t="str">
        <f t="shared" si="0"/>
        <v/>
      </c>
      <c r="O46" s="16"/>
    </row>
    <row r="47" spans="1:15" x14ac:dyDescent="0.3">
      <c r="A47" s="16"/>
      <c r="B47" s="16"/>
      <c r="C47" s="16"/>
      <c r="D47" s="18" t="str">
        <f>IFERROR(INDEX('Регистър на риска'!$I:$I,MATCH(A47,'Регистър на риска'!$A:$A,0)),"")</f>
        <v/>
      </c>
      <c r="E47" s="16"/>
      <c r="F47" s="16"/>
      <c r="G47" s="16"/>
      <c r="H47" s="16"/>
      <c r="I47" s="16"/>
      <c r="J47" s="16"/>
      <c r="K47" s="16"/>
      <c r="L47" s="16"/>
      <c r="M47" s="16"/>
      <c r="N47" s="18" t="str">
        <f t="shared" si="0"/>
        <v/>
      </c>
      <c r="O47" s="16"/>
    </row>
    <row r="48" spans="1:15" x14ac:dyDescent="0.3">
      <c r="A48" s="16"/>
      <c r="B48" s="16"/>
      <c r="C48" s="16"/>
      <c r="D48" s="18" t="str">
        <f>IFERROR(INDEX('Регистър на риска'!$I:$I,MATCH(A48,'Регистър на риска'!$A:$A,0)),"")</f>
        <v/>
      </c>
      <c r="E48" s="16"/>
      <c r="F48" s="16"/>
      <c r="G48" s="16"/>
      <c r="H48" s="16"/>
      <c r="I48" s="16"/>
      <c r="J48" s="16"/>
      <c r="K48" s="16"/>
      <c r="L48" s="16"/>
      <c r="M48" s="16"/>
      <c r="N48" s="18" t="str">
        <f t="shared" si="0"/>
        <v/>
      </c>
      <c r="O48" s="16"/>
    </row>
    <row r="49" spans="1:15" x14ac:dyDescent="0.3">
      <c r="A49" s="16"/>
      <c r="B49" s="16"/>
      <c r="C49" s="16"/>
      <c r="D49" s="18" t="str">
        <f>IFERROR(INDEX('Регистър на риска'!$I:$I,MATCH(A49,'Регистър на риска'!$A:$A,0)),"")</f>
        <v/>
      </c>
      <c r="E49" s="16"/>
      <c r="F49" s="16"/>
      <c r="G49" s="16"/>
      <c r="H49" s="16"/>
      <c r="I49" s="16"/>
      <c r="J49" s="16"/>
      <c r="K49" s="16"/>
      <c r="L49" s="16"/>
      <c r="M49" s="16"/>
      <c r="N49" s="18" t="str">
        <f t="shared" si="0"/>
        <v/>
      </c>
      <c r="O49" s="16"/>
    </row>
    <row r="50" spans="1:15" x14ac:dyDescent="0.3">
      <c r="A50" s="16"/>
      <c r="B50" s="16"/>
      <c r="C50" s="16"/>
      <c r="D50" s="18" t="str">
        <f>IFERROR(INDEX('Регистър на риска'!$I:$I,MATCH(A50,'Регистър на риска'!$A:$A,0)),"")</f>
        <v/>
      </c>
      <c r="E50" s="16"/>
      <c r="F50" s="16"/>
      <c r="G50" s="16"/>
      <c r="H50" s="16"/>
      <c r="I50" s="16"/>
      <c r="J50" s="16"/>
      <c r="K50" s="16"/>
      <c r="L50" s="16"/>
      <c r="M50" s="16"/>
      <c r="N50" s="18" t="str">
        <f t="shared" si="0"/>
        <v/>
      </c>
      <c r="O50" s="16"/>
    </row>
    <row r="51" spans="1:15" x14ac:dyDescent="0.3">
      <c r="A51" s="16"/>
      <c r="B51" s="16"/>
      <c r="C51" s="16"/>
      <c r="D51" s="18" t="str">
        <f>IFERROR(INDEX('Регистър на риска'!$I:$I,MATCH(A51,'Регистър на риска'!$A:$A,0)),"")</f>
        <v/>
      </c>
      <c r="E51" s="16"/>
      <c r="F51" s="16"/>
      <c r="G51" s="16"/>
      <c r="H51" s="16"/>
      <c r="I51" s="16"/>
      <c r="J51" s="16"/>
      <c r="K51" s="16"/>
      <c r="L51" s="16"/>
      <c r="M51" s="16"/>
      <c r="N51" s="18" t="str">
        <f t="shared" si="0"/>
        <v/>
      </c>
      <c r="O51" s="16"/>
    </row>
    <row r="52" spans="1:15" x14ac:dyDescent="0.3">
      <c r="A52" s="16"/>
      <c r="B52" s="16"/>
      <c r="C52" s="16"/>
      <c r="D52" s="18" t="str">
        <f>IFERROR(INDEX('Регистър на риска'!$I:$I,MATCH(A52,'Регистър на риска'!$A:$A,0)),"")</f>
        <v/>
      </c>
      <c r="E52" s="16"/>
      <c r="F52" s="16"/>
      <c r="G52" s="16"/>
      <c r="H52" s="16"/>
      <c r="I52" s="16"/>
      <c r="J52" s="16"/>
      <c r="K52" s="16"/>
      <c r="L52" s="16"/>
      <c r="M52" s="16"/>
      <c r="N52" s="18" t="str">
        <f t="shared" si="0"/>
        <v/>
      </c>
      <c r="O52" s="16"/>
    </row>
    <row r="53" spans="1:15" x14ac:dyDescent="0.3">
      <c r="A53" s="16"/>
      <c r="B53" s="16"/>
      <c r="C53" s="16"/>
      <c r="D53" s="18" t="str">
        <f>IFERROR(INDEX('Регистър на риска'!$I:$I,MATCH(A53,'Регистър на риска'!$A:$A,0)),"")</f>
        <v/>
      </c>
      <c r="E53" s="16"/>
      <c r="F53" s="16"/>
      <c r="G53" s="16"/>
      <c r="H53" s="16"/>
      <c r="I53" s="16"/>
      <c r="J53" s="16"/>
      <c r="K53" s="16"/>
      <c r="L53" s="16"/>
      <c r="M53" s="16"/>
      <c r="N53" s="18" t="str">
        <f t="shared" si="0"/>
        <v/>
      </c>
      <c r="O53" s="16"/>
    </row>
    <row r="54" spans="1:15" x14ac:dyDescent="0.3">
      <c r="A54" s="16"/>
      <c r="B54" s="16"/>
      <c r="C54" s="16"/>
      <c r="D54" s="18" t="str">
        <f>IFERROR(INDEX('Регистър на риска'!$I:$I,MATCH(A54,'Регистър на риска'!$A:$A,0)),"")</f>
        <v/>
      </c>
      <c r="E54" s="16"/>
      <c r="F54" s="16"/>
      <c r="G54" s="16"/>
      <c r="H54" s="16"/>
      <c r="I54" s="16"/>
      <c r="J54" s="16"/>
      <c r="K54" s="16"/>
      <c r="L54" s="16"/>
      <c r="M54" s="16"/>
      <c r="N54" s="18" t="str">
        <f t="shared" si="0"/>
        <v/>
      </c>
      <c r="O54" s="16"/>
    </row>
    <row r="55" spans="1:15" x14ac:dyDescent="0.3">
      <c r="A55" s="16"/>
      <c r="B55" s="16"/>
      <c r="C55" s="16"/>
      <c r="D55" s="18" t="str">
        <f>IFERROR(INDEX('Регистър на риска'!$I:$I,MATCH(A55,'Регистър на риска'!$A:$A,0)),"")</f>
        <v/>
      </c>
      <c r="E55" s="16"/>
      <c r="F55" s="16"/>
      <c r="G55" s="16"/>
      <c r="H55" s="16"/>
      <c r="I55" s="16"/>
      <c r="J55" s="16"/>
      <c r="K55" s="16"/>
      <c r="L55" s="16"/>
      <c r="M55" s="16"/>
      <c r="N55" s="18" t="str">
        <f t="shared" si="0"/>
        <v/>
      </c>
      <c r="O55" s="16"/>
    </row>
    <row r="56" spans="1:15" x14ac:dyDescent="0.3">
      <c r="A56" s="16"/>
      <c r="B56" s="16"/>
      <c r="C56" s="16"/>
      <c r="D56" s="18" t="str">
        <f>IFERROR(INDEX('Регистър на риска'!$I:$I,MATCH(A56,'Регистър на риска'!$A:$A,0)),"")</f>
        <v/>
      </c>
      <c r="E56" s="16"/>
      <c r="F56" s="16"/>
      <c r="G56" s="16"/>
      <c r="H56" s="16"/>
      <c r="I56" s="16"/>
      <c r="J56" s="16"/>
      <c r="K56" s="16"/>
      <c r="L56" s="16"/>
      <c r="M56" s="16"/>
      <c r="N56" s="18" t="str">
        <f t="shared" si="0"/>
        <v/>
      </c>
      <c r="O56" s="16"/>
    </row>
    <row r="57" spans="1:15" x14ac:dyDescent="0.3">
      <c r="A57" s="16"/>
      <c r="B57" s="16"/>
      <c r="C57" s="16"/>
      <c r="D57" s="18" t="str">
        <f>IFERROR(INDEX('Регистър на риска'!$I:$I,MATCH(A57,'Регистър на риска'!$A:$A,0)),"")</f>
        <v/>
      </c>
      <c r="E57" s="16"/>
      <c r="F57" s="16"/>
      <c r="G57" s="16"/>
      <c r="H57" s="16"/>
      <c r="I57" s="16"/>
      <c r="J57" s="16"/>
      <c r="K57" s="16"/>
      <c r="L57" s="16"/>
      <c r="M57" s="16"/>
      <c r="N57" s="18" t="str">
        <f t="shared" si="0"/>
        <v/>
      </c>
      <c r="O57" s="16"/>
    </row>
    <row r="58" spans="1:15" x14ac:dyDescent="0.3">
      <c r="A58" s="16"/>
      <c r="B58" s="16"/>
      <c r="C58" s="16"/>
      <c r="D58" s="18" t="str">
        <f>IFERROR(INDEX('Регистър на риска'!$I:$I,MATCH(A58,'Регистър на риска'!$A:$A,0)),"")</f>
        <v/>
      </c>
      <c r="E58" s="16"/>
      <c r="F58" s="16"/>
      <c r="G58" s="16"/>
      <c r="H58" s="16"/>
      <c r="I58" s="16"/>
      <c r="J58" s="16"/>
      <c r="K58" s="16"/>
      <c r="L58" s="16"/>
      <c r="M58" s="16"/>
      <c r="N58" s="18" t="str">
        <f t="shared" si="0"/>
        <v/>
      </c>
      <c r="O58" s="16"/>
    </row>
    <row r="59" spans="1:15" x14ac:dyDescent="0.3">
      <c r="A59" s="16"/>
      <c r="B59" s="16"/>
      <c r="C59" s="16"/>
      <c r="D59" s="18" t="str">
        <f>IFERROR(INDEX('Регистър на риска'!$I:$I,MATCH(A59,'Регистър на риска'!$A:$A,0)),"")</f>
        <v/>
      </c>
      <c r="E59" s="16"/>
      <c r="F59" s="16"/>
      <c r="G59" s="16"/>
      <c r="H59" s="16"/>
      <c r="I59" s="16"/>
      <c r="J59" s="16"/>
      <c r="K59" s="16"/>
      <c r="L59" s="16"/>
      <c r="M59" s="16"/>
      <c r="N59" s="18" t="str">
        <f t="shared" si="0"/>
        <v/>
      </c>
      <c r="O59" s="16"/>
    </row>
    <row r="60" spans="1:15" x14ac:dyDescent="0.3">
      <c r="A60" s="16"/>
      <c r="B60" s="16"/>
      <c r="C60" s="16"/>
      <c r="D60" s="18" t="str">
        <f>IFERROR(INDEX('Регистър на риска'!$I:$I,MATCH(A60,'Регистър на риска'!$A:$A,0)),"")</f>
        <v/>
      </c>
      <c r="E60" s="16"/>
      <c r="F60" s="16"/>
      <c r="G60" s="16"/>
      <c r="H60" s="16"/>
      <c r="I60" s="16"/>
      <c r="J60" s="16"/>
      <c r="K60" s="16"/>
      <c r="L60" s="16"/>
      <c r="M60" s="16"/>
      <c r="N60" s="18" t="str">
        <f t="shared" si="0"/>
        <v/>
      </c>
      <c r="O60" s="16"/>
    </row>
    <row r="61" spans="1:15" x14ac:dyDescent="0.3">
      <c r="A61" s="16"/>
      <c r="B61" s="16"/>
      <c r="C61" s="16"/>
      <c r="D61" s="18" t="str">
        <f>IFERROR(INDEX('Регистър на риска'!$I:$I,MATCH(A61,'Регистър на риска'!$A:$A,0)),"")</f>
        <v/>
      </c>
      <c r="E61" s="16"/>
      <c r="F61" s="16"/>
      <c r="G61" s="16"/>
      <c r="H61" s="16"/>
      <c r="I61" s="16"/>
      <c r="J61" s="16"/>
      <c r="K61" s="16"/>
      <c r="L61" s="16"/>
      <c r="M61" s="16"/>
      <c r="N61" s="18" t="str">
        <f t="shared" si="0"/>
        <v/>
      </c>
      <c r="O61" s="16"/>
    </row>
    <row r="62" spans="1:15" x14ac:dyDescent="0.3">
      <c r="A62" s="16"/>
      <c r="B62" s="16"/>
      <c r="C62" s="16"/>
      <c r="D62" s="18" t="str">
        <f>IFERROR(INDEX('Регистър на риска'!$I:$I,MATCH(A62,'Регистър на риска'!$A:$A,0)),"")</f>
        <v/>
      </c>
      <c r="E62" s="16"/>
      <c r="F62" s="16"/>
      <c r="G62" s="16"/>
      <c r="H62" s="16"/>
      <c r="I62" s="16"/>
      <c r="J62" s="16"/>
      <c r="K62" s="16"/>
      <c r="L62" s="16"/>
      <c r="M62" s="16"/>
      <c r="N62" s="18" t="str">
        <f t="shared" si="0"/>
        <v/>
      </c>
      <c r="O62" s="16"/>
    </row>
    <row r="63" spans="1:15" x14ac:dyDescent="0.3">
      <c r="A63" s="16"/>
      <c r="B63" s="16"/>
      <c r="C63" s="16"/>
      <c r="D63" s="18" t="str">
        <f>IFERROR(INDEX('Регистър на риска'!$I:$I,MATCH(A63,'Регистър на риска'!$A:$A,0)),"")</f>
        <v/>
      </c>
      <c r="E63" s="16"/>
      <c r="F63" s="16"/>
      <c r="G63" s="16"/>
      <c r="H63" s="16"/>
      <c r="I63" s="16"/>
      <c r="J63" s="16"/>
      <c r="K63" s="16"/>
      <c r="L63" s="16"/>
      <c r="M63" s="16"/>
      <c r="N63" s="18" t="str">
        <f t="shared" si="0"/>
        <v/>
      </c>
      <c r="O63" s="16"/>
    </row>
    <row r="64" spans="1:15" x14ac:dyDescent="0.3">
      <c r="A64" s="16"/>
      <c r="B64" s="16"/>
      <c r="C64" s="16"/>
      <c r="D64" s="18" t="str">
        <f>IFERROR(INDEX('Регистър на риска'!$I:$I,MATCH(A64,'Регистър на риска'!$A:$A,0)),"")</f>
        <v/>
      </c>
      <c r="E64" s="16"/>
      <c r="F64" s="16"/>
      <c r="G64" s="16"/>
      <c r="H64" s="16"/>
      <c r="I64" s="16"/>
      <c r="J64" s="16"/>
      <c r="K64" s="16"/>
      <c r="L64" s="16"/>
      <c r="M64" s="16"/>
      <c r="N64" s="18" t="str">
        <f t="shared" si="0"/>
        <v/>
      </c>
      <c r="O64" s="16"/>
    </row>
    <row r="65" spans="1:15" x14ac:dyDescent="0.3">
      <c r="A65" s="16"/>
      <c r="B65" s="16"/>
      <c r="C65" s="16"/>
      <c r="D65" s="18" t="str">
        <f>IFERROR(INDEX('Регистър на риска'!$I:$I,MATCH(A65,'Регистър на риска'!$A:$A,0)),"")</f>
        <v/>
      </c>
      <c r="E65" s="16"/>
      <c r="F65" s="16"/>
      <c r="G65" s="16"/>
      <c r="H65" s="16"/>
      <c r="I65" s="16"/>
      <c r="J65" s="16"/>
      <c r="K65" s="16"/>
      <c r="L65" s="16"/>
      <c r="M65" s="16"/>
      <c r="N65" s="18" t="str">
        <f t="shared" si="0"/>
        <v/>
      </c>
      <c r="O65" s="16"/>
    </row>
    <row r="66" spans="1:15" x14ac:dyDescent="0.3">
      <c r="A66" s="16"/>
      <c r="B66" s="16"/>
      <c r="C66" s="16"/>
      <c r="D66" s="18" t="str">
        <f>IFERROR(INDEX('Регистър на риска'!$I:$I,MATCH(A66,'Регистър на риска'!$A:$A,0)),"")</f>
        <v/>
      </c>
      <c r="E66" s="16"/>
      <c r="F66" s="16"/>
      <c r="G66" s="16"/>
      <c r="H66" s="16"/>
      <c r="I66" s="16"/>
      <c r="J66" s="16"/>
      <c r="K66" s="16"/>
      <c r="L66" s="16"/>
      <c r="M66" s="16"/>
      <c r="N66" s="18" t="str">
        <f t="shared" ref="N66:N129" si="1">IF(OR(L66="",M66=""),"",L66*M66)</f>
        <v/>
      </c>
      <c r="O66" s="16"/>
    </row>
    <row r="67" spans="1:15" x14ac:dyDescent="0.3">
      <c r="A67" s="16"/>
      <c r="B67" s="16"/>
      <c r="C67" s="16"/>
      <c r="D67" s="18" t="str">
        <f>IFERROR(INDEX('Регистър на риска'!$I:$I,MATCH(A67,'Регистър на риска'!$A:$A,0)),"")</f>
        <v/>
      </c>
      <c r="E67" s="16"/>
      <c r="F67" s="16"/>
      <c r="G67" s="16"/>
      <c r="H67" s="16"/>
      <c r="I67" s="16"/>
      <c r="J67" s="16"/>
      <c r="K67" s="16"/>
      <c r="L67" s="16"/>
      <c r="M67" s="16"/>
      <c r="N67" s="18" t="str">
        <f t="shared" si="1"/>
        <v/>
      </c>
      <c r="O67" s="16"/>
    </row>
    <row r="68" spans="1:15" x14ac:dyDescent="0.3">
      <c r="A68" s="16"/>
      <c r="B68" s="16"/>
      <c r="C68" s="16"/>
      <c r="D68" s="18" t="str">
        <f>IFERROR(INDEX('Регистър на риска'!$I:$I,MATCH(A68,'Регистър на риска'!$A:$A,0)),"")</f>
        <v/>
      </c>
      <c r="E68" s="16"/>
      <c r="F68" s="16"/>
      <c r="G68" s="16"/>
      <c r="H68" s="16"/>
      <c r="I68" s="16"/>
      <c r="J68" s="16"/>
      <c r="K68" s="16"/>
      <c r="L68" s="16"/>
      <c r="M68" s="16"/>
      <c r="N68" s="18" t="str">
        <f t="shared" si="1"/>
        <v/>
      </c>
      <c r="O68" s="16"/>
    </row>
    <row r="69" spans="1:15" x14ac:dyDescent="0.3">
      <c r="A69" s="16"/>
      <c r="B69" s="16"/>
      <c r="C69" s="16"/>
      <c r="D69" s="18" t="str">
        <f>IFERROR(INDEX('Регистър на риска'!$I:$I,MATCH(A69,'Регистър на риска'!$A:$A,0)),"")</f>
        <v/>
      </c>
      <c r="E69" s="16"/>
      <c r="F69" s="16"/>
      <c r="G69" s="16"/>
      <c r="H69" s="16"/>
      <c r="I69" s="16"/>
      <c r="J69" s="16"/>
      <c r="K69" s="16"/>
      <c r="L69" s="16"/>
      <c r="M69" s="16"/>
      <c r="N69" s="18" t="str">
        <f t="shared" si="1"/>
        <v/>
      </c>
      <c r="O69" s="16"/>
    </row>
    <row r="70" spans="1:15" x14ac:dyDescent="0.3">
      <c r="A70" s="16"/>
      <c r="B70" s="16"/>
      <c r="C70" s="16"/>
      <c r="D70" s="18" t="str">
        <f>IFERROR(INDEX('Регистър на риска'!$I:$I,MATCH(A70,'Регистър на риска'!$A:$A,0)),"")</f>
        <v/>
      </c>
      <c r="E70" s="16"/>
      <c r="F70" s="16"/>
      <c r="G70" s="16"/>
      <c r="H70" s="16"/>
      <c r="I70" s="16"/>
      <c r="J70" s="16"/>
      <c r="K70" s="16"/>
      <c r="L70" s="16"/>
      <c r="M70" s="16"/>
      <c r="N70" s="18" t="str">
        <f t="shared" si="1"/>
        <v/>
      </c>
      <c r="O70" s="16"/>
    </row>
    <row r="71" spans="1:15" x14ac:dyDescent="0.3">
      <c r="A71" s="16"/>
      <c r="B71" s="16"/>
      <c r="C71" s="16"/>
      <c r="D71" s="18" t="str">
        <f>IFERROR(INDEX('Регистър на риска'!$I:$I,MATCH(A71,'Регистър на риска'!$A:$A,0)),"")</f>
        <v/>
      </c>
      <c r="E71" s="16"/>
      <c r="F71" s="16"/>
      <c r="G71" s="16"/>
      <c r="H71" s="16"/>
      <c r="I71" s="16"/>
      <c r="J71" s="16"/>
      <c r="K71" s="16"/>
      <c r="L71" s="16"/>
      <c r="M71" s="16"/>
      <c r="N71" s="18" t="str">
        <f t="shared" si="1"/>
        <v/>
      </c>
      <c r="O71" s="16"/>
    </row>
    <row r="72" spans="1:15" x14ac:dyDescent="0.3">
      <c r="A72" s="16"/>
      <c r="B72" s="16"/>
      <c r="C72" s="16"/>
      <c r="D72" s="18" t="str">
        <f>IFERROR(INDEX('Регистър на риска'!$I:$I,MATCH(A72,'Регистър на риска'!$A:$A,0)),"")</f>
        <v/>
      </c>
      <c r="E72" s="16"/>
      <c r="F72" s="16"/>
      <c r="G72" s="16"/>
      <c r="H72" s="16"/>
      <c r="I72" s="16"/>
      <c r="J72" s="16"/>
      <c r="K72" s="16"/>
      <c r="L72" s="16"/>
      <c r="M72" s="16"/>
      <c r="N72" s="18" t="str">
        <f t="shared" si="1"/>
        <v/>
      </c>
      <c r="O72" s="16"/>
    </row>
    <row r="73" spans="1:15" x14ac:dyDescent="0.3">
      <c r="A73" s="16"/>
      <c r="B73" s="16"/>
      <c r="C73" s="16"/>
      <c r="D73" s="18" t="str">
        <f>IFERROR(INDEX('Регистър на риска'!$I:$I,MATCH(A73,'Регистър на риска'!$A:$A,0)),"")</f>
        <v/>
      </c>
      <c r="E73" s="16"/>
      <c r="F73" s="16"/>
      <c r="G73" s="16"/>
      <c r="H73" s="16"/>
      <c r="I73" s="16"/>
      <c r="J73" s="16"/>
      <c r="K73" s="16"/>
      <c r="L73" s="16"/>
      <c r="M73" s="16"/>
      <c r="N73" s="18" t="str">
        <f t="shared" si="1"/>
        <v/>
      </c>
      <c r="O73" s="16"/>
    </row>
    <row r="74" spans="1:15" x14ac:dyDescent="0.3">
      <c r="A74" s="16"/>
      <c r="B74" s="16"/>
      <c r="C74" s="16"/>
      <c r="D74" s="18" t="str">
        <f>IFERROR(INDEX('Регистър на риска'!$I:$I,MATCH(A74,'Регистър на риска'!$A:$A,0)),"")</f>
        <v/>
      </c>
      <c r="E74" s="16"/>
      <c r="F74" s="16"/>
      <c r="G74" s="16"/>
      <c r="H74" s="16"/>
      <c r="I74" s="16"/>
      <c r="J74" s="16"/>
      <c r="K74" s="16"/>
      <c r="L74" s="16"/>
      <c r="M74" s="16"/>
      <c r="N74" s="18" t="str">
        <f t="shared" si="1"/>
        <v/>
      </c>
      <c r="O74" s="16"/>
    </row>
    <row r="75" spans="1:15" x14ac:dyDescent="0.3">
      <c r="A75" s="16"/>
      <c r="B75" s="16"/>
      <c r="C75" s="16"/>
      <c r="D75" s="18" t="str">
        <f>IFERROR(INDEX('Регистър на риска'!$I:$I,MATCH(A75,'Регистър на риска'!$A:$A,0)),"")</f>
        <v/>
      </c>
      <c r="E75" s="16"/>
      <c r="F75" s="16"/>
      <c r="G75" s="16"/>
      <c r="H75" s="16"/>
      <c r="I75" s="16"/>
      <c r="J75" s="16"/>
      <c r="K75" s="16"/>
      <c r="L75" s="16"/>
      <c r="M75" s="16"/>
      <c r="N75" s="18" t="str">
        <f t="shared" si="1"/>
        <v/>
      </c>
      <c r="O75" s="16"/>
    </row>
    <row r="76" spans="1:15" x14ac:dyDescent="0.3">
      <c r="A76" s="16"/>
      <c r="B76" s="16"/>
      <c r="C76" s="16"/>
      <c r="D76" s="18" t="str">
        <f>IFERROR(INDEX('Регистър на риска'!$I:$I,MATCH(A76,'Регистър на риска'!$A:$A,0)),"")</f>
        <v/>
      </c>
      <c r="E76" s="16"/>
      <c r="F76" s="16"/>
      <c r="G76" s="16"/>
      <c r="H76" s="16"/>
      <c r="I76" s="16"/>
      <c r="J76" s="16"/>
      <c r="K76" s="16"/>
      <c r="L76" s="16"/>
      <c r="M76" s="16"/>
      <c r="N76" s="18" t="str">
        <f t="shared" si="1"/>
        <v/>
      </c>
      <c r="O76" s="16"/>
    </row>
    <row r="77" spans="1:15" x14ac:dyDescent="0.3">
      <c r="A77" s="16"/>
      <c r="B77" s="16"/>
      <c r="C77" s="16"/>
      <c r="D77" s="18" t="str">
        <f>IFERROR(INDEX('Регистър на риска'!$I:$I,MATCH(A77,'Регистър на риска'!$A:$A,0)),"")</f>
        <v/>
      </c>
      <c r="E77" s="16"/>
      <c r="F77" s="16"/>
      <c r="G77" s="16"/>
      <c r="H77" s="16"/>
      <c r="I77" s="16"/>
      <c r="J77" s="16"/>
      <c r="K77" s="16"/>
      <c r="L77" s="16"/>
      <c r="M77" s="16"/>
      <c r="N77" s="18" t="str">
        <f t="shared" si="1"/>
        <v/>
      </c>
      <c r="O77" s="16"/>
    </row>
    <row r="78" spans="1:15" x14ac:dyDescent="0.3">
      <c r="A78" s="16"/>
      <c r="B78" s="16"/>
      <c r="C78" s="16"/>
      <c r="D78" s="18" t="str">
        <f>IFERROR(INDEX('Регистър на риска'!$I:$I,MATCH(A78,'Регистър на риска'!$A:$A,0)),"")</f>
        <v/>
      </c>
      <c r="E78" s="16"/>
      <c r="F78" s="16"/>
      <c r="G78" s="16"/>
      <c r="H78" s="16"/>
      <c r="I78" s="16"/>
      <c r="J78" s="16"/>
      <c r="K78" s="16"/>
      <c r="L78" s="16"/>
      <c r="M78" s="16"/>
      <c r="N78" s="18" t="str">
        <f t="shared" si="1"/>
        <v/>
      </c>
      <c r="O78" s="16"/>
    </row>
    <row r="79" spans="1:15" x14ac:dyDescent="0.3">
      <c r="A79" s="16"/>
      <c r="B79" s="16"/>
      <c r="C79" s="16"/>
      <c r="D79" s="18" t="str">
        <f>IFERROR(INDEX('Регистър на риска'!$I:$I,MATCH(A79,'Регистър на риска'!$A:$A,0)),"")</f>
        <v/>
      </c>
      <c r="E79" s="16"/>
      <c r="F79" s="16"/>
      <c r="G79" s="16"/>
      <c r="H79" s="16"/>
      <c r="I79" s="16"/>
      <c r="J79" s="16"/>
      <c r="K79" s="16"/>
      <c r="L79" s="16"/>
      <c r="M79" s="16"/>
      <c r="N79" s="18" t="str">
        <f t="shared" si="1"/>
        <v/>
      </c>
      <c r="O79" s="16"/>
    </row>
    <row r="80" spans="1:15" x14ac:dyDescent="0.3">
      <c r="A80" s="16"/>
      <c r="B80" s="16"/>
      <c r="C80" s="16"/>
      <c r="D80" s="18" t="str">
        <f>IFERROR(INDEX('Регистър на риска'!$I:$I,MATCH(A80,'Регистър на риска'!$A:$A,0)),"")</f>
        <v/>
      </c>
      <c r="E80" s="16"/>
      <c r="F80" s="16"/>
      <c r="G80" s="16"/>
      <c r="H80" s="16"/>
      <c r="I80" s="16"/>
      <c r="J80" s="16"/>
      <c r="K80" s="16"/>
      <c r="L80" s="16"/>
      <c r="M80" s="16"/>
      <c r="N80" s="18" t="str">
        <f t="shared" si="1"/>
        <v/>
      </c>
      <c r="O80" s="16"/>
    </row>
    <row r="81" spans="1:15" x14ac:dyDescent="0.3">
      <c r="A81" s="16"/>
      <c r="B81" s="16"/>
      <c r="C81" s="16"/>
      <c r="D81" s="18" t="str">
        <f>IFERROR(INDEX('Регистър на риска'!$I:$I,MATCH(A81,'Регистър на риска'!$A:$A,0)),"")</f>
        <v/>
      </c>
      <c r="E81" s="16"/>
      <c r="F81" s="16"/>
      <c r="G81" s="16"/>
      <c r="H81" s="16"/>
      <c r="I81" s="16"/>
      <c r="J81" s="16"/>
      <c r="K81" s="16"/>
      <c r="L81" s="16"/>
      <c r="M81" s="16"/>
      <c r="N81" s="18" t="str">
        <f t="shared" si="1"/>
        <v/>
      </c>
      <c r="O81" s="16"/>
    </row>
    <row r="82" spans="1:15" x14ac:dyDescent="0.3">
      <c r="A82" s="16"/>
      <c r="B82" s="16"/>
      <c r="C82" s="16"/>
      <c r="D82" s="18" t="str">
        <f>IFERROR(INDEX('Регистър на риска'!$I:$I,MATCH(A82,'Регистър на риска'!$A:$A,0)),"")</f>
        <v/>
      </c>
      <c r="E82" s="16"/>
      <c r="F82" s="16"/>
      <c r="G82" s="16"/>
      <c r="H82" s="16"/>
      <c r="I82" s="16"/>
      <c r="J82" s="16"/>
      <c r="K82" s="16"/>
      <c r="L82" s="16"/>
      <c r="M82" s="16"/>
      <c r="N82" s="18" t="str">
        <f t="shared" si="1"/>
        <v/>
      </c>
      <c r="O82" s="16"/>
    </row>
    <row r="83" spans="1:15" x14ac:dyDescent="0.3">
      <c r="A83" s="16"/>
      <c r="B83" s="16"/>
      <c r="C83" s="16"/>
      <c r="D83" s="18" t="str">
        <f>IFERROR(INDEX('Регистър на риска'!$I:$I,MATCH(A83,'Регистър на риска'!$A:$A,0)),"")</f>
        <v/>
      </c>
      <c r="E83" s="16"/>
      <c r="F83" s="16"/>
      <c r="G83" s="16"/>
      <c r="H83" s="16"/>
      <c r="I83" s="16"/>
      <c r="J83" s="16"/>
      <c r="K83" s="16"/>
      <c r="L83" s="16"/>
      <c r="M83" s="16"/>
      <c r="N83" s="18" t="str">
        <f t="shared" si="1"/>
        <v/>
      </c>
      <c r="O83" s="16"/>
    </row>
    <row r="84" spans="1:15" x14ac:dyDescent="0.3">
      <c r="A84" s="16"/>
      <c r="B84" s="16"/>
      <c r="C84" s="16"/>
      <c r="D84" s="18" t="str">
        <f>IFERROR(INDEX('Регистър на риска'!$I:$I,MATCH(A84,'Регистър на риска'!$A:$A,0)),"")</f>
        <v/>
      </c>
      <c r="E84" s="16"/>
      <c r="F84" s="16"/>
      <c r="G84" s="16"/>
      <c r="H84" s="16"/>
      <c r="I84" s="16"/>
      <c r="J84" s="16"/>
      <c r="K84" s="16"/>
      <c r="L84" s="16"/>
      <c r="M84" s="16"/>
      <c r="N84" s="18" t="str">
        <f t="shared" si="1"/>
        <v/>
      </c>
      <c r="O84" s="16"/>
    </row>
    <row r="85" spans="1:15" x14ac:dyDescent="0.3">
      <c r="A85" s="16"/>
      <c r="B85" s="16"/>
      <c r="C85" s="16"/>
      <c r="D85" s="18" t="str">
        <f>IFERROR(INDEX('Регистър на риска'!$I:$I,MATCH(A85,'Регистър на риска'!$A:$A,0)),"")</f>
        <v/>
      </c>
      <c r="E85" s="16"/>
      <c r="F85" s="16"/>
      <c r="G85" s="16"/>
      <c r="H85" s="16"/>
      <c r="I85" s="16"/>
      <c r="J85" s="16"/>
      <c r="K85" s="16"/>
      <c r="L85" s="16"/>
      <c r="M85" s="16"/>
      <c r="N85" s="18" t="str">
        <f t="shared" si="1"/>
        <v/>
      </c>
      <c r="O85" s="16"/>
    </row>
    <row r="86" spans="1:15" x14ac:dyDescent="0.3">
      <c r="A86" s="16"/>
      <c r="B86" s="16"/>
      <c r="C86" s="16"/>
      <c r="D86" s="18" t="str">
        <f>IFERROR(INDEX('Регистър на риска'!$I:$I,MATCH(A86,'Регистър на риска'!$A:$A,0)),"")</f>
        <v/>
      </c>
      <c r="E86" s="16"/>
      <c r="F86" s="16"/>
      <c r="G86" s="16"/>
      <c r="H86" s="16"/>
      <c r="I86" s="16"/>
      <c r="J86" s="16"/>
      <c r="K86" s="16"/>
      <c r="L86" s="16"/>
      <c r="M86" s="16"/>
      <c r="N86" s="18" t="str">
        <f t="shared" si="1"/>
        <v/>
      </c>
      <c r="O86" s="16"/>
    </row>
    <row r="87" spans="1:15" x14ac:dyDescent="0.3">
      <c r="A87" s="16"/>
      <c r="B87" s="16"/>
      <c r="C87" s="16"/>
      <c r="D87" s="18" t="str">
        <f>IFERROR(INDEX('Регистър на риска'!$I:$I,MATCH(A87,'Регистър на риска'!$A:$A,0)),"")</f>
        <v/>
      </c>
      <c r="E87" s="16"/>
      <c r="F87" s="16"/>
      <c r="G87" s="16"/>
      <c r="H87" s="16"/>
      <c r="I87" s="16"/>
      <c r="J87" s="16"/>
      <c r="K87" s="16"/>
      <c r="L87" s="16"/>
      <c r="M87" s="16"/>
      <c r="N87" s="18" t="str">
        <f t="shared" si="1"/>
        <v/>
      </c>
      <c r="O87" s="16"/>
    </row>
    <row r="88" spans="1:15" x14ac:dyDescent="0.3">
      <c r="A88" s="16"/>
      <c r="B88" s="16"/>
      <c r="C88" s="16"/>
      <c r="D88" s="18" t="str">
        <f>IFERROR(INDEX('Регистър на риска'!$I:$I,MATCH(A88,'Регистър на риска'!$A:$A,0)),"")</f>
        <v/>
      </c>
      <c r="E88" s="16"/>
      <c r="F88" s="16"/>
      <c r="G88" s="16"/>
      <c r="H88" s="16"/>
      <c r="I88" s="16"/>
      <c r="J88" s="16"/>
      <c r="K88" s="16"/>
      <c r="L88" s="16"/>
      <c r="M88" s="16"/>
      <c r="N88" s="18" t="str">
        <f t="shared" si="1"/>
        <v/>
      </c>
      <c r="O88" s="16"/>
    </row>
    <row r="89" spans="1:15" x14ac:dyDescent="0.3">
      <c r="A89" s="16"/>
      <c r="B89" s="16"/>
      <c r="C89" s="16"/>
      <c r="D89" s="18" t="str">
        <f>IFERROR(INDEX('Регистър на риска'!$I:$I,MATCH(A89,'Регистър на риска'!$A:$A,0)),"")</f>
        <v/>
      </c>
      <c r="E89" s="16"/>
      <c r="F89" s="16"/>
      <c r="G89" s="16"/>
      <c r="H89" s="16"/>
      <c r="I89" s="16"/>
      <c r="J89" s="16"/>
      <c r="K89" s="16"/>
      <c r="L89" s="16"/>
      <c r="M89" s="16"/>
      <c r="N89" s="18" t="str">
        <f t="shared" si="1"/>
        <v/>
      </c>
      <c r="O89" s="16"/>
    </row>
    <row r="90" spans="1:15" x14ac:dyDescent="0.3">
      <c r="A90" s="16"/>
      <c r="B90" s="16"/>
      <c r="C90" s="16"/>
      <c r="D90" s="18" t="str">
        <f>IFERROR(INDEX('Регистър на риска'!$I:$I,MATCH(A90,'Регистър на риска'!$A:$A,0)),"")</f>
        <v/>
      </c>
      <c r="E90" s="16"/>
      <c r="F90" s="16"/>
      <c r="G90" s="16"/>
      <c r="H90" s="16"/>
      <c r="I90" s="16"/>
      <c r="J90" s="16"/>
      <c r="K90" s="16"/>
      <c r="L90" s="16"/>
      <c r="M90" s="16"/>
      <c r="N90" s="18" t="str">
        <f t="shared" si="1"/>
        <v/>
      </c>
      <c r="O90" s="16"/>
    </row>
    <row r="91" spans="1:15" x14ac:dyDescent="0.3">
      <c r="A91" s="16"/>
      <c r="B91" s="16"/>
      <c r="C91" s="16"/>
      <c r="D91" s="18" t="str">
        <f>IFERROR(INDEX('Регистър на риска'!$I:$I,MATCH(A91,'Регистър на риска'!$A:$A,0)),"")</f>
        <v/>
      </c>
      <c r="E91" s="16"/>
      <c r="F91" s="16"/>
      <c r="G91" s="16"/>
      <c r="H91" s="16"/>
      <c r="I91" s="16"/>
      <c r="J91" s="16"/>
      <c r="K91" s="16"/>
      <c r="L91" s="16"/>
      <c r="M91" s="16"/>
      <c r="N91" s="18" t="str">
        <f t="shared" si="1"/>
        <v/>
      </c>
      <c r="O91" s="16"/>
    </row>
    <row r="92" spans="1:15" x14ac:dyDescent="0.3">
      <c r="A92" s="16"/>
      <c r="B92" s="16"/>
      <c r="C92" s="16"/>
      <c r="D92" s="18" t="str">
        <f>IFERROR(INDEX('Регистър на риска'!$I:$I,MATCH(A92,'Регистър на риска'!$A:$A,0)),"")</f>
        <v/>
      </c>
      <c r="E92" s="16"/>
      <c r="F92" s="16"/>
      <c r="G92" s="16"/>
      <c r="H92" s="16"/>
      <c r="I92" s="16"/>
      <c r="J92" s="16"/>
      <c r="K92" s="16"/>
      <c r="L92" s="16"/>
      <c r="M92" s="16"/>
      <c r="N92" s="18" t="str">
        <f t="shared" si="1"/>
        <v/>
      </c>
      <c r="O92" s="16"/>
    </row>
    <row r="93" spans="1:15" x14ac:dyDescent="0.3">
      <c r="A93" s="16"/>
      <c r="B93" s="16"/>
      <c r="C93" s="16"/>
      <c r="D93" s="18" t="str">
        <f>IFERROR(INDEX('Регистър на риска'!$I:$I,MATCH(A93,'Регистър на риска'!$A:$A,0)),"")</f>
        <v/>
      </c>
      <c r="E93" s="16"/>
      <c r="F93" s="16"/>
      <c r="G93" s="16"/>
      <c r="H93" s="16"/>
      <c r="I93" s="16"/>
      <c r="J93" s="16"/>
      <c r="K93" s="16"/>
      <c r="L93" s="16"/>
      <c r="M93" s="16"/>
      <c r="N93" s="18" t="str">
        <f t="shared" si="1"/>
        <v/>
      </c>
      <c r="O93" s="16"/>
    </row>
    <row r="94" spans="1:15" x14ac:dyDescent="0.3">
      <c r="A94" s="16"/>
      <c r="B94" s="16"/>
      <c r="C94" s="16"/>
      <c r="D94" s="18" t="str">
        <f>IFERROR(INDEX('Регистър на риска'!$I:$I,MATCH(A94,'Регистър на риска'!$A:$A,0)),"")</f>
        <v/>
      </c>
      <c r="E94" s="16"/>
      <c r="F94" s="16"/>
      <c r="G94" s="16"/>
      <c r="H94" s="16"/>
      <c r="I94" s="16"/>
      <c r="J94" s="16"/>
      <c r="K94" s="16"/>
      <c r="L94" s="16"/>
      <c r="M94" s="16"/>
      <c r="N94" s="18" t="str">
        <f t="shared" si="1"/>
        <v/>
      </c>
      <c r="O94" s="16"/>
    </row>
    <row r="95" spans="1:15" x14ac:dyDescent="0.3">
      <c r="A95" s="16"/>
      <c r="B95" s="16"/>
      <c r="C95" s="16"/>
      <c r="D95" s="18" t="str">
        <f>IFERROR(INDEX('Регистър на риска'!$I:$I,MATCH(A95,'Регистър на риска'!$A:$A,0)),"")</f>
        <v/>
      </c>
      <c r="E95" s="16"/>
      <c r="F95" s="16"/>
      <c r="G95" s="16"/>
      <c r="H95" s="16"/>
      <c r="I95" s="16"/>
      <c r="J95" s="16"/>
      <c r="K95" s="16"/>
      <c r="L95" s="16"/>
      <c r="M95" s="16"/>
      <c r="N95" s="18" t="str">
        <f t="shared" si="1"/>
        <v/>
      </c>
      <c r="O95" s="16"/>
    </row>
    <row r="96" spans="1:15" x14ac:dyDescent="0.3">
      <c r="A96" s="16"/>
      <c r="B96" s="16"/>
      <c r="C96" s="16"/>
      <c r="D96" s="18" t="str">
        <f>IFERROR(INDEX('Регистър на риска'!$I:$I,MATCH(A96,'Регистър на риска'!$A:$A,0)),"")</f>
        <v/>
      </c>
      <c r="E96" s="16"/>
      <c r="F96" s="16"/>
      <c r="G96" s="16"/>
      <c r="H96" s="16"/>
      <c r="I96" s="16"/>
      <c r="J96" s="16"/>
      <c r="K96" s="16"/>
      <c r="L96" s="16"/>
      <c r="M96" s="16"/>
      <c r="N96" s="18" t="str">
        <f t="shared" si="1"/>
        <v/>
      </c>
      <c r="O96" s="16"/>
    </row>
    <row r="97" spans="1:15" x14ac:dyDescent="0.3">
      <c r="A97" s="16"/>
      <c r="B97" s="16"/>
      <c r="C97" s="16"/>
      <c r="D97" s="18" t="str">
        <f>IFERROR(INDEX('Регистър на риска'!$I:$I,MATCH(A97,'Регистър на риска'!$A:$A,0)),"")</f>
        <v/>
      </c>
      <c r="E97" s="16"/>
      <c r="F97" s="16"/>
      <c r="G97" s="16"/>
      <c r="H97" s="16"/>
      <c r="I97" s="16"/>
      <c r="J97" s="16"/>
      <c r="K97" s="16"/>
      <c r="L97" s="16"/>
      <c r="M97" s="16"/>
      <c r="N97" s="18" t="str">
        <f t="shared" si="1"/>
        <v/>
      </c>
      <c r="O97" s="16"/>
    </row>
    <row r="98" spans="1:15" x14ac:dyDescent="0.3">
      <c r="A98" s="16"/>
      <c r="B98" s="16"/>
      <c r="C98" s="16"/>
      <c r="D98" s="18" t="str">
        <f>IFERROR(INDEX('Регистър на риска'!$I:$I,MATCH(A98,'Регистър на риска'!$A:$A,0)),"")</f>
        <v/>
      </c>
      <c r="E98" s="16"/>
      <c r="F98" s="16"/>
      <c r="G98" s="16"/>
      <c r="H98" s="16"/>
      <c r="I98" s="16"/>
      <c r="J98" s="16"/>
      <c r="K98" s="16"/>
      <c r="L98" s="16"/>
      <c r="M98" s="16"/>
      <c r="N98" s="18" t="str">
        <f t="shared" si="1"/>
        <v/>
      </c>
      <c r="O98" s="16"/>
    </row>
    <row r="99" spans="1:15" x14ac:dyDescent="0.3">
      <c r="A99" s="16"/>
      <c r="B99" s="16"/>
      <c r="C99" s="16"/>
      <c r="D99" s="18" t="str">
        <f>IFERROR(INDEX('Регистър на риска'!$I:$I,MATCH(A99,'Регистър на риска'!$A:$A,0)),"")</f>
        <v/>
      </c>
      <c r="E99" s="16"/>
      <c r="F99" s="16"/>
      <c r="G99" s="16"/>
      <c r="H99" s="16"/>
      <c r="I99" s="16"/>
      <c r="J99" s="16"/>
      <c r="K99" s="16"/>
      <c r="L99" s="16"/>
      <c r="M99" s="16"/>
      <c r="N99" s="18" t="str">
        <f t="shared" si="1"/>
        <v/>
      </c>
      <c r="O99" s="16"/>
    </row>
    <row r="100" spans="1:15" x14ac:dyDescent="0.3">
      <c r="A100" s="16"/>
      <c r="B100" s="16"/>
      <c r="C100" s="16"/>
      <c r="D100" s="18" t="str">
        <f>IFERROR(INDEX('Регистър на риска'!$I:$I,MATCH(A100,'Регистър на риска'!$A:$A,0)),"")</f>
        <v/>
      </c>
      <c r="E100" s="16"/>
      <c r="F100" s="16"/>
      <c r="G100" s="16"/>
      <c r="H100" s="16"/>
      <c r="I100" s="16"/>
      <c r="J100" s="16"/>
      <c r="K100" s="16"/>
      <c r="L100" s="16"/>
      <c r="M100" s="16"/>
      <c r="N100" s="18" t="str">
        <f t="shared" si="1"/>
        <v/>
      </c>
      <c r="O100" s="16"/>
    </row>
    <row r="101" spans="1:15" x14ac:dyDescent="0.3">
      <c r="A101" s="16"/>
      <c r="B101" s="16"/>
      <c r="C101" s="16"/>
      <c r="D101" s="18" t="str">
        <f>IFERROR(INDEX('Регистър на риска'!$I:$I,MATCH(A101,'Регистър на риска'!$A:$A,0)),"")</f>
        <v/>
      </c>
      <c r="E101" s="16"/>
      <c r="F101" s="16"/>
      <c r="G101" s="16"/>
      <c r="H101" s="16"/>
      <c r="I101" s="16"/>
      <c r="J101" s="16"/>
      <c r="K101" s="16"/>
      <c r="L101" s="16"/>
      <c r="M101" s="16"/>
      <c r="N101" s="18" t="str">
        <f t="shared" si="1"/>
        <v/>
      </c>
      <c r="O101" s="16"/>
    </row>
    <row r="102" spans="1:15" x14ac:dyDescent="0.3">
      <c r="A102" s="16"/>
      <c r="B102" s="16"/>
      <c r="C102" s="16"/>
      <c r="D102" s="18" t="str">
        <f>IFERROR(INDEX('Регистър на риска'!$I:$I,MATCH(A102,'Регистър на риска'!$A:$A,0)),"")</f>
        <v/>
      </c>
      <c r="E102" s="16"/>
      <c r="F102" s="16"/>
      <c r="G102" s="16"/>
      <c r="H102" s="16"/>
      <c r="I102" s="16"/>
      <c r="J102" s="16"/>
      <c r="K102" s="16"/>
      <c r="L102" s="16"/>
      <c r="M102" s="16"/>
      <c r="N102" s="18" t="str">
        <f t="shared" si="1"/>
        <v/>
      </c>
      <c r="O102" s="16"/>
    </row>
    <row r="103" spans="1:15" x14ac:dyDescent="0.3">
      <c r="A103" s="16"/>
      <c r="B103" s="16"/>
      <c r="C103" s="16"/>
      <c r="D103" s="18" t="str">
        <f>IFERROR(INDEX('Регистър на риска'!$I:$I,MATCH(A103,'Регистър на риска'!$A:$A,0)),"")</f>
        <v/>
      </c>
      <c r="E103" s="16"/>
      <c r="F103" s="16"/>
      <c r="G103" s="16"/>
      <c r="H103" s="16"/>
      <c r="I103" s="16"/>
      <c r="J103" s="16"/>
      <c r="K103" s="16"/>
      <c r="L103" s="16"/>
      <c r="M103" s="16"/>
      <c r="N103" s="18" t="str">
        <f t="shared" si="1"/>
        <v/>
      </c>
      <c r="O103" s="16"/>
    </row>
    <row r="104" spans="1:15" x14ac:dyDescent="0.3">
      <c r="A104" s="16"/>
      <c r="B104" s="16"/>
      <c r="C104" s="16"/>
      <c r="D104" s="18" t="str">
        <f>IFERROR(INDEX('Регистър на риска'!$I:$I,MATCH(A104,'Регистър на риска'!$A:$A,0)),"")</f>
        <v/>
      </c>
      <c r="E104" s="16"/>
      <c r="F104" s="16"/>
      <c r="G104" s="16"/>
      <c r="H104" s="16"/>
      <c r="I104" s="16"/>
      <c r="J104" s="16"/>
      <c r="K104" s="16"/>
      <c r="L104" s="16"/>
      <c r="M104" s="16"/>
      <c r="N104" s="18" t="str">
        <f t="shared" si="1"/>
        <v/>
      </c>
      <c r="O104" s="16"/>
    </row>
    <row r="105" spans="1:15" x14ac:dyDescent="0.3">
      <c r="A105" s="16"/>
      <c r="B105" s="16"/>
      <c r="C105" s="16"/>
      <c r="D105" s="18" t="str">
        <f>IFERROR(INDEX('Регистър на риска'!$I:$I,MATCH(A105,'Регистър на риска'!$A:$A,0)),"")</f>
        <v/>
      </c>
      <c r="E105" s="16"/>
      <c r="F105" s="16"/>
      <c r="G105" s="16"/>
      <c r="H105" s="16"/>
      <c r="I105" s="16"/>
      <c r="J105" s="16"/>
      <c r="K105" s="16"/>
      <c r="L105" s="16"/>
      <c r="M105" s="16"/>
      <c r="N105" s="18" t="str">
        <f t="shared" si="1"/>
        <v/>
      </c>
      <c r="O105" s="16"/>
    </row>
    <row r="106" spans="1:15" x14ac:dyDescent="0.3">
      <c r="A106" s="16"/>
      <c r="B106" s="16"/>
      <c r="C106" s="16"/>
      <c r="D106" s="18" t="str">
        <f>IFERROR(INDEX('Регистър на риска'!$I:$I,MATCH(A106,'Регистър на риска'!$A:$A,0)),"")</f>
        <v/>
      </c>
      <c r="E106" s="16"/>
      <c r="F106" s="16"/>
      <c r="G106" s="16"/>
      <c r="H106" s="16"/>
      <c r="I106" s="16"/>
      <c r="J106" s="16"/>
      <c r="K106" s="16"/>
      <c r="L106" s="16"/>
      <c r="M106" s="16"/>
      <c r="N106" s="18" t="str">
        <f t="shared" si="1"/>
        <v/>
      </c>
      <c r="O106" s="16"/>
    </row>
    <row r="107" spans="1:15" x14ac:dyDescent="0.3">
      <c r="A107" s="16"/>
      <c r="B107" s="16"/>
      <c r="C107" s="16"/>
      <c r="D107" s="18" t="str">
        <f>IFERROR(INDEX('Регистър на риска'!$I:$I,MATCH(A107,'Регистър на риска'!$A:$A,0)),"")</f>
        <v/>
      </c>
      <c r="E107" s="16"/>
      <c r="F107" s="16"/>
      <c r="G107" s="16"/>
      <c r="H107" s="16"/>
      <c r="I107" s="16"/>
      <c r="J107" s="16"/>
      <c r="K107" s="16"/>
      <c r="L107" s="16"/>
      <c r="M107" s="16"/>
      <c r="N107" s="18" t="str">
        <f t="shared" si="1"/>
        <v/>
      </c>
      <c r="O107" s="16"/>
    </row>
    <row r="108" spans="1:15" x14ac:dyDescent="0.3">
      <c r="A108" s="16"/>
      <c r="B108" s="16"/>
      <c r="C108" s="16"/>
      <c r="D108" s="18" t="str">
        <f>IFERROR(INDEX('Регистър на риска'!$I:$I,MATCH(A108,'Регистър на риска'!$A:$A,0)),"")</f>
        <v/>
      </c>
      <c r="E108" s="16"/>
      <c r="F108" s="16"/>
      <c r="G108" s="16"/>
      <c r="H108" s="16"/>
      <c r="I108" s="16"/>
      <c r="J108" s="16"/>
      <c r="K108" s="16"/>
      <c r="L108" s="16"/>
      <c r="M108" s="16"/>
      <c r="N108" s="18" t="str">
        <f t="shared" si="1"/>
        <v/>
      </c>
      <c r="O108" s="16"/>
    </row>
    <row r="109" spans="1:15" x14ac:dyDescent="0.3">
      <c r="A109" s="16"/>
      <c r="B109" s="16"/>
      <c r="C109" s="16"/>
      <c r="D109" s="18" t="str">
        <f>IFERROR(INDEX('Регистър на риска'!$I:$I,MATCH(A109,'Регистър на риска'!$A:$A,0)),"")</f>
        <v/>
      </c>
      <c r="E109" s="16"/>
      <c r="F109" s="16"/>
      <c r="G109" s="16"/>
      <c r="H109" s="16"/>
      <c r="I109" s="16"/>
      <c r="J109" s="16"/>
      <c r="K109" s="16"/>
      <c r="L109" s="16"/>
      <c r="M109" s="16"/>
      <c r="N109" s="18" t="str">
        <f t="shared" si="1"/>
        <v/>
      </c>
      <c r="O109" s="16"/>
    </row>
    <row r="110" spans="1:15" x14ac:dyDescent="0.3">
      <c r="A110" s="16"/>
      <c r="B110" s="16"/>
      <c r="C110" s="16"/>
      <c r="D110" s="18" t="str">
        <f>IFERROR(INDEX('Регистър на риска'!$I:$I,MATCH(A110,'Регистър на риска'!$A:$A,0)),"")</f>
        <v/>
      </c>
      <c r="E110" s="16"/>
      <c r="F110" s="16"/>
      <c r="G110" s="16"/>
      <c r="H110" s="16"/>
      <c r="I110" s="16"/>
      <c r="J110" s="16"/>
      <c r="K110" s="16"/>
      <c r="L110" s="16"/>
      <c r="M110" s="16"/>
      <c r="N110" s="18" t="str">
        <f t="shared" si="1"/>
        <v/>
      </c>
      <c r="O110" s="16"/>
    </row>
    <row r="111" spans="1:15" x14ac:dyDescent="0.3">
      <c r="A111" s="16"/>
      <c r="B111" s="16"/>
      <c r="C111" s="16"/>
      <c r="D111" s="18" t="str">
        <f>IFERROR(INDEX('Регистър на риска'!$I:$I,MATCH(A111,'Регистър на риска'!$A:$A,0)),"")</f>
        <v/>
      </c>
      <c r="E111" s="16"/>
      <c r="F111" s="16"/>
      <c r="G111" s="16"/>
      <c r="H111" s="16"/>
      <c r="I111" s="16"/>
      <c r="J111" s="16"/>
      <c r="K111" s="16"/>
      <c r="L111" s="16"/>
      <c r="M111" s="16"/>
      <c r="N111" s="18" t="str">
        <f t="shared" si="1"/>
        <v/>
      </c>
      <c r="O111" s="16"/>
    </row>
    <row r="112" spans="1:15" x14ac:dyDescent="0.3">
      <c r="A112" s="16"/>
      <c r="B112" s="16"/>
      <c r="C112" s="16"/>
      <c r="D112" s="18" t="str">
        <f>IFERROR(INDEX('Регистър на риска'!$I:$I,MATCH(A112,'Регистър на риска'!$A:$A,0)),"")</f>
        <v/>
      </c>
      <c r="E112" s="16"/>
      <c r="F112" s="16"/>
      <c r="G112" s="16"/>
      <c r="H112" s="16"/>
      <c r="I112" s="16"/>
      <c r="J112" s="16"/>
      <c r="K112" s="16"/>
      <c r="L112" s="16"/>
      <c r="M112" s="16"/>
      <c r="N112" s="18" t="str">
        <f t="shared" si="1"/>
        <v/>
      </c>
      <c r="O112" s="16"/>
    </row>
    <row r="113" spans="1:15" x14ac:dyDescent="0.3">
      <c r="A113" s="16"/>
      <c r="B113" s="16"/>
      <c r="C113" s="16"/>
      <c r="D113" s="18" t="str">
        <f>IFERROR(INDEX('Регистър на риска'!$I:$I,MATCH(A113,'Регистър на риска'!$A:$A,0)),"")</f>
        <v/>
      </c>
      <c r="E113" s="16"/>
      <c r="F113" s="16"/>
      <c r="G113" s="16"/>
      <c r="H113" s="16"/>
      <c r="I113" s="16"/>
      <c r="J113" s="16"/>
      <c r="K113" s="16"/>
      <c r="L113" s="16"/>
      <c r="M113" s="16"/>
      <c r="N113" s="18" t="str">
        <f t="shared" si="1"/>
        <v/>
      </c>
      <c r="O113" s="16"/>
    </row>
    <row r="114" spans="1:15" x14ac:dyDescent="0.3">
      <c r="A114" s="16"/>
      <c r="B114" s="16"/>
      <c r="C114" s="16"/>
      <c r="D114" s="18" t="str">
        <f>IFERROR(INDEX('Регистър на риска'!$I:$I,MATCH(A114,'Регистър на риска'!$A:$A,0)),"")</f>
        <v/>
      </c>
      <c r="E114" s="16"/>
      <c r="F114" s="16"/>
      <c r="G114" s="16"/>
      <c r="H114" s="16"/>
      <c r="I114" s="16"/>
      <c r="J114" s="16"/>
      <c r="K114" s="16"/>
      <c r="L114" s="16"/>
      <c r="M114" s="16"/>
      <c r="N114" s="18" t="str">
        <f t="shared" si="1"/>
        <v/>
      </c>
      <c r="O114" s="16"/>
    </row>
    <row r="115" spans="1:15" x14ac:dyDescent="0.3">
      <c r="A115" s="16"/>
      <c r="B115" s="16"/>
      <c r="C115" s="16"/>
      <c r="D115" s="18" t="str">
        <f>IFERROR(INDEX('Регистър на риска'!$I:$I,MATCH(A115,'Регистър на риска'!$A:$A,0)),"")</f>
        <v/>
      </c>
      <c r="E115" s="16"/>
      <c r="F115" s="16"/>
      <c r="G115" s="16"/>
      <c r="H115" s="16"/>
      <c r="I115" s="16"/>
      <c r="J115" s="16"/>
      <c r="K115" s="16"/>
      <c r="L115" s="16"/>
      <c r="M115" s="16"/>
      <c r="N115" s="18" t="str">
        <f t="shared" si="1"/>
        <v/>
      </c>
      <c r="O115" s="16"/>
    </row>
    <row r="116" spans="1:15" x14ac:dyDescent="0.3">
      <c r="A116" s="16"/>
      <c r="B116" s="16"/>
      <c r="C116" s="16"/>
      <c r="D116" s="18" t="str">
        <f>IFERROR(INDEX('Регистър на риска'!$I:$I,MATCH(A116,'Регистър на риска'!$A:$A,0)),"")</f>
        <v/>
      </c>
      <c r="E116" s="16"/>
      <c r="F116" s="16"/>
      <c r="G116" s="16"/>
      <c r="H116" s="16"/>
      <c r="I116" s="16"/>
      <c r="J116" s="16"/>
      <c r="K116" s="16"/>
      <c r="L116" s="16"/>
      <c r="M116" s="16"/>
      <c r="N116" s="18" t="str">
        <f t="shared" si="1"/>
        <v/>
      </c>
      <c r="O116" s="16"/>
    </row>
    <row r="117" spans="1:15" x14ac:dyDescent="0.3">
      <c r="A117" s="16"/>
      <c r="B117" s="16"/>
      <c r="C117" s="16"/>
      <c r="D117" s="18" t="str">
        <f>IFERROR(INDEX('Регистър на риска'!$I:$I,MATCH(A117,'Регистър на риска'!$A:$A,0)),"")</f>
        <v/>
      </c>
      <c r="E117" s="16"/>
      <c r="F117" s="16"/>
      <c r="G117" s="16"/>
      <c r="H117" s="16"/>
      <c r="I117" s="16"/>
      <c r="J117" s="16"/>
      <c r="K117" s="16"/>
      <c r="L117" s="16"/>
      <c r="M117" s="16"/>
      <c r="N117" s="18" t="str">
        <f t="shared" si="1"/>
        <v/>
      </c>
      <c r="O117" s="16"/>
    </row>
    <row r="118" spans="1:15" x14ac:dyDescent="0.3">
      <c r="A118" s="16"/>
      <c r="B118" s="16"/>
      <c r="C118" s="16"/>
      <c r="D118" s="18" t="str">
        <f>IFERROR(INDEX('Регистър на риска'!$I:$I,MATCH(A118,'Регистър на риска'!$A:$A,0)),"")</f>
        <v/>
      </c>
      <c r="E118" s="16"/>
      <c r="F118" s="16"/>
      <c r="G118" s="16"/>
      <c r="H118" s="16"/>
      <c r="I118" s="16"/>
      <c r="J118" s="16"/>
      <c r="K118" s="16"/>
      <c r="L118" s="16"/>
      <c r="M118" s="16"/>
      <c r="N118" s="18" t="str">
        <f t="shared" si="1"/>
        <v/>
      </c>
      <c r="O118" s="16"/>
    </row>
    <row r="119" spans="1:15" x14ac:dyDescent="0.3">
      <c r="A119" s="16"/>
      <c r="B119" s="16"/>
      <c r="C119" s="16"/>
      <c r="D119" s="18" t="str">
        <f>IFERROR(INDEX('Регистър на риска'!$I:$I,MATCH(A119,'Регистър на риска'!$A:$A,0)),"")</f>
        <v/>
      </c>
      <c r="E119" s="16"/>
      <c r="F119" s="16"/>
      <c r="G119" s="16"/>
      <c r="H119" s="16"/>
      <c r="I119" s="16"/>
      <c r="J119" s="16"/>
      <c r="K119" s="16"/>
      <c r="L119" s="16"/>
      <c r="M119" s="16"/>
      <c r="N119" s="18" t="str">
        <f t="shared" si="1"/>
        <v/>
      </c>
      <c r="O119" s="16"/>
    </row>
    <row r="120" spans="1:15" x14ac:dyDescent="0.3">
      <c r="A120" s="16"/>
      <c r="B120" s="16"/>
      <c r="C120" s="16"/>
      <c r="D120" s="18" t="str">
        <f>IFERROR(INDEX('Регистър на риска'!$I:$I,MATCH(A120,'Регистър на риска'!$A:$A,0)),"")</f>
        <v/>
      </c>
      <c r="E120" s="16"/>
      <c r="F120" s="16"/>
      <c r="G120" s="16"/>
      <c r="H120" s="16"/>
      <c r="I120" s="16"/>
      <c r="J120" s="16"/>
      <c r="K120" s="16"/>
      <c r="L120" s="16"/>
      <c r="M120" s="16"/>
      <c r="N120" s="18" t="str">
        <f t="shared" si="1"/>
        <v/>
      </c>
      <c r="O120" s="16"/>
    </row>
    <row r="121" spans="1:15" x14ac:dyDescent="0.3">
      <c r="A121" s="16"/>
      <c r="B121" s="16"/>
      <c r="C121" s="16"/>
      <c r="D121" s="18" t="str">
        <f>IFERROR(INDEX('Регистър на риска'!$I:$I,MATCH(A121,'Регистър на риска'!$A:$A,0)),"")</f>
        <v/>
      </c>
      <c r="E121" s="16"/>
      <c r="F121" s="16"/>
      <c r="G121" s="16"/>
      <c r="H121" s="16"/>
      <c r="I121" s="16"/>
      <c r="J121" s="16"/>
      <c r="K121" s="16"/>
      <c r="L121" s="16"/>
      <c r="M121" s="16"/>
      <c r="N121" s="18" t="str">
        <f t="shared" si="1"/>
        <v/>
      </c>
      <c r="O121" s="16"/>
    </row>
    <row r="122" spans="1:15" x14ac:dyDescent="0.3">
      <c r="A122" s="16"/>
      <c r="B122" s="16"/>
      <c r="C122" s="16"/>
      <c r="D122" s="18" t="str">
        <f>IFERROR(INDEX('Регистър на риска'!$I:$I,MATCH(A122,'Регистър на риска'!$A:$A,0)),"")</f>
        <v/>
      </c>
      <c r="E122" s="16"/>
      <c r="F122" s="16"/>
      <c r="G122" s="16"/>
      <c r="H122" s="16"/>
      <c r="I122" s="16"/>
      <c r="J122" s="16"/>
      <c r="K122" s="16"/>
      <c r="L122" s="16"/>
      <c r="M122" s="16"/>
      <c r="N122" s="18" t="str">
        <f t="shared" si="1"/>
        <v/>
      </c>
      <c r="O122" s="16"/>
    </row>
    <row r="123" spans="1:15" x14ac:dyDescent="0.3">
      <c r="A123" s="16"/>
      <c r="B123" s="16"/>
      <c r="C123" s="16"/>
      <c r="D123" s="18" t="str">
        <f>IFERROR(INDEX('Регистър на риска'!$I:$I,MATCH(A123,'Регистър на риска'!$A:$A,0)),"")</f>
        <v/>
      </c>
      <c r="E123" s="16"/>
      <c r="F123" s="16"/>
      <c r="G123" s="16"/>
      <c r="H123" s="16"/>
      <c r="I123" s="16"/>
      <c r="J123" s="16"/>
      <c r="K123" s="16"/>
      <c r="L123" s="16"/>
      <c r="M123" s="16"/>
      <c r="N123" s="18" t="str">
        <f t="shared" si="1"/>
        <v/>
      </c>
      <c r="O123" s="16"/>
    </row>
    <row r="124" spans="1:15" x14ac:dyDescent="0.3">
      <c r="A124" s="16"/>
      <c r="B124" s="16"/>
      <c r="C124" s="16"/>
      <c r="D124" s="18" t="str">
        <f>IFERROR(INDEX('Регистър на риска'!$I:$I,MATCH(A124,'Регистър на риска'!$A:$A,0)),"")</f>
        <v/>
      </c>
      <c r="E124" s="16"/>
      <c r="F124" s="16"/>
      <c r="G124" s="16"/>
      <c r="H124" s="16"/>
      <c r="I124" s="16"/>
      <c r="J124" s="16"/>
      <c r="K124" s="16"/>
      <c r="L124" s="16"/>
      <c r="M124" s="16"/>
      <c r="N124" s="18" t="str">
        <f t="shared" si="1"/>
        <v/>
      </c>
      <c r="O124" s="16"/>
    </row>
    <row r="125" spans="1:15" x14ac:dyDescent="0.3">
      <c r="A125" s="16"/>
      <c r="B125" s="16"/>
      <c r="C125" s="16"/>
      <c r="D125" s="18" t="str">
        <f>IFERROR(INDEX('Регистър на риска'!$I:$I,MATCH(A125,'Регистър на риска'!$A:$A,0)),"")</f>
        <v/>
      </c>
      <c r="E125" s="16"/>
      <c r="F125" s="16"/>
      <c r="G125" s="16"/>
      <c r="H125" s="16"/>
      <c r="I125" s="16"/>
      <c r="J125" s="16"/>
      <c r="K125" s="16"/>
      <c r="L125" s="16"/>
      <c r="M125" s="16"/>
      <c r="N125" s="18" t="str">
        <f t="shared" si="1"/>
        <v/>
      </c>
      <c r="O125" s="16"/>
    </row>
    <row r="126" spans="1:15" x14ac:dyDescent="0.3">
      <c r="A126" s="16"/>
      <c r="B126" s="16"/>
      <c r="C126" s="16"/>
      <c r="D126" s="18" t="str">
        <f>IFERROR(INDEX('Регистър на риска'!$I:$I,MATCH(A126,'Регистър на риска'!$A:$A,0)),"")</f>
        <v/>
      </c>
      <c r="E126" s="16"/>
      <c r="F126" s="16"/>
      <c r="G126" s="16"/>
      <c r="H126" s="16"/>
      <c r="I126" s="16"/>
      <c r="J126" s="16"/>
      <c r="K126" s="16"/>
      <c r="L126" s="16"/>
      <c r="M126" s="16"/>
      <c r="N126" s="18" t="str">
        <f t="shared" si="1"/>
        <v/>
      </c>
      <c r="O126" s="16"/>
    </row>
    <row r="127" spans="1:15" x14ac:dyDescent="0.3">
      <c r="A127" s="16"/>
      <c r="B127" s="16"/>
      <c r="C127" s="16"/>
      <c r="D127" s="18" t="str">
        <f>IFERROR(INDEX('Регистър на риска'!$I:$I,MATCH(A127,'Регистър на риска'!$A:$A,0)),"")</f>
        <v/>
      </c>
      <c r="E127" s="16"/>
      <c r="F127" s="16"/>
      <c r="G127" s="16"/>
      <c r="H127" s="16"/>
      <c r="I127" s="16"/>
      <c r="J127" s="16"/>
      <c r="K127" s="16"/>
      <c r="L127" s="16"/>
      <c r="M127" s="16"/>
      <c r="N127" s="18" t="str">
        <f t="shared" si="1"/>
        <v/>
      </c>
      <c r="O127" s="16"/>
    </row>
    <row r="128" spans="1:15" x14ac:dyDescent="0.3">
      <c r="A128" s="16"/>
      <c r="B128" s="16"/>
      <c r="C128" s="16"/>
      <c r="D128" s="18" t="str">
        <f>IFERROR(INDEX('Регистър на риска'!$I:$I,MATCH(A128,'Регистър на риска'!$A:$A,0)),"")</f>
        <v/>
      </c>
      <c r="E128" s="16"/>
      <c r="F128" s="16"/>
      <c r="G128" s="16"/>
      <c r="H128" s="16"/>
      <c r="I128" s="16"/>
      <c r="J128" s="16"/>
      <c r="K128" s="16"/>
      <c r="L128" s="16"/>
      <c r="M128" s="16"/>
      <c r="N128" s="18" t="str">
        <f t="shared" si="1"/>
        <v/>
      </c>
      <c r="O128" s="16"/>
    </row>
    <row r="129" spans="1:15" x14ac:dyDescent="0.3">
      <c r="A129" s="16"/>
      <c r="B129" s="16"/>
      <c r="C129" s="16"/>
      <c r="D129" s="18" t="str">
        <f>IFERROR(INDEX('Регистър на риска'!$I:$I,MATCH(A129,'Регистър на риска'!$A:$A,0)),"")</f>
        <v/>
      </c>
      <c r="E129" s="16"/>
      <c r="F129" s="16"/>
      <c r="G129" s="16"/>
      <c r="H129" s="16"/>
      <c r="I129" s="16"/>
      <c r="J129" s="16"/>
      <c r="K129" s="16"/>
      <c r="L129" s="16"/>
      <c r="M129" s="16"/>
      <c r="N129" s="18" t="str">
        <f t="shared" si="1"/>
        <v/>
      </c>
      <c r="O129" s="16"/>
    </row>
    <row r="130" spans="1:15" x14ac:dyDescent="0.3">
      <c r="A130" s="16"/>
      <c r="B130" s="16"/>
      <c r="C130" s="16"/>
      <c r="D130" s="18" t="str">
        <f>IFERROR(INDEX('Регистър на риска'!$I:$I,MATCH(A130,'Регистър на риска'!$A:$A,0)),"")</f>
        <v/>
      </c>
      <c r="E130" s="16"/>
      <c r="F130" s="16"/>
      <c r="G130" s="16"/>
      <c r="H130" s="16"/>
      <c r="I130" s="16"/>
      <c r="J130" s="16"/>
      <c r="K130" s="16"/>
      <c r="L130" s="16"/>
      <c r="M130" s="16"/>
      <c r="N130" s="18" t="str">
        <f t="shared" ref="N130:N193" si="2">IF(OR(L130="",M130=""),"",L130*M130)</f>
        <v/>
      </c>
      <c r="O130" s="16"/>
    </row>
    <row r="131" spans="1:15" x14ac:dyDescent="0.3">
      <c r="A131" s="16"/>
      <c r="B131" s="16"/>
      <c r="C131" s="16"/>
      <c r="D131" s="18" t="str">
        <f>IFERROR(INDEX('Регистър на риска'!$I:$I,MATCH(A131,'Регистър на риска'!$A:$A,0)),"")</f>
        <v/>
      </c>
      <c r="E131" s="16"/>
      <c r="F131" s="16"/>
      <c r="G131" s="16"/>
      <c r="H131" s="16"/>
      <c r="I131" s="16"/>
      <c r="J131" s="16"/>
      <c r="K131" s="16"/>
      <c r="L131" s="16"/>
      <c r="M131" s="16"/>
      <c r="N131" s="18" t="str">
        <f t="shared" si="2"/>
        <v/>
      </c>
      <c r="O131" s="16"/>
    </row>
    <row r="132" spans="1:15" x14ac:dyDescent="0.3">
      <c r="A132" s="16"/>
      <c r="B132" s="16"/>
      <c r="C132" s="16"/>
      <c r="D132" s="18" t="str">
        <f>IFERROR(INDEX('Регистър на риска'!$I:$I,MATCH(A132,'Регистър на риска'!$A:$A,0)),"")</f>
        <v/>
      </c>
      <c r="E132" s="16"/>
      <c r="F132" s="16"/>
      <c r="G132" s="16"/>
      <c r="H132" s="16"/>
      <c r="I132" s="16"/>
      <c r="J132" s="16"/>
      <c r="K132" s="16"/>
      <c r="L132" s="16"/>
      <c r="M132" s="16"/>
      <c r="N132" s="18" t="str">
        <f t="shared" si="2"/>
        <v/>
      </c>
      <c r="O132" s="16"/>
    </row>
    <row r="133" spans="1:15" x14ac:dyDescent="0.3">
      <c r="A133" s="16"/>
      <c r="B133" s="16"/>
      <c r="C133" s="16"/>
      <c r="D133" s="18" t="str">
        <f>IFERROR(INDEX('Регистър на риска'!$I:$I,MATCH(A133,'Регистър на риска'!$A:$A,0)),"")</f>
        <v/>
      </c>
      <c r="E133" s="16"/>
      <c r="F133" s="16"/>
      <c r="G133" s="16"/>
      <c r="H133" s="16"/>
      <c r="I133" s="16"/>
      <c r="J133" s="16"/>
      <c r="K133" s="16"/>
      <c r="L133" s="16"/>
      <c r="M133" s="16"/>
      <c r="N133" s="18" t="str">
        <f t="shared" si="2"/>
        <v/>
      </c>
      <c r="O133" s="16"/>
    </row>
    <row r="134" spans="1:15" x14ac:dyDescent="0.3">
      <c r="A134" s="16"/>
      <c r="B134" s="16"/>
      <c r="C134" s="16"/>
      <c r="D134" s="18" t="str">
        <f>IFERROR(INDEX('Регистър на риска'!$I:$I,MATCH(A134,'Регистър на риска'!$A:$A,0)),"")</f>
        <v/>
      </c>
      <c r="E134" s="16"/>
      <c r="F134" s="16"/>
      <c r="G134" s="16"/>
      <c r="H134" s="16"/>
      <c r="I134" s="16"/>
      <c r="J134" s="16"/>
      <c r="K134" s="16"/>
      <c r="L134" s="16"/>
      <c r="M134" s="16"/>
      <c r="N134" s="18" t="str">
        <f t="shared" si="2"/>
        <v/>
      </c>
      <c r="O134" s="16"/>
    </row>
    <row r="135" spans="1:15" x14ac:dyDescent="0.3">
      <c r="A135" s="16"/>
      <c r="B135" s="16"/>
      <c r="C135" s="16"/>
      <c r="D135" s="18" t="str">
        <f>IFERROR(INDEX('Регистър на риска'!$I:$I,MATCH(A135,'Регистър на риска'!$A:$A,0)),"")</f>
        <v/>
      </c>
      <c r="E135" s="16"/>
      <c r="F135" s="16"/>
      <c r="G135" s="16"/>
      <c r="H135" s="16"/>
      <c r="I135" s="16"/>
      <c r="J135" s="16"/>
      <c r="K135" s="16"/>
      <c r="L135" s="16"/>
      <c r="M135" s="16"/>
      <c r="N135" s="18" t="str">
        <f t="shared" si="2"/>
        <v/>
      </c>
      <c r="O135" s="16"/>
    </row>
    <row r="136" spans="1:15" x14ac:dyDescent="0.3">
      <c r="A136" s="16"/>
      <c r="B136" s="16"/>
      <c r="C136" s="16"/>
      <c r="D136" s="18" t="str">
        <f>IFERROR(INDEX('Регистър на риска'!$I:$I,MATCH(A136,'Регистър на риска'!$A:$A,0)),"")</f>
        <v/>
      </c>
      <c r="E136" s="16"/>
      <c r="F136" s="16"/>
      <c r="G136" s="16"/>
      <c r="H136" s="16"/>
      <c r="I136" s="16"/>
      <c r="J136" s="16"/>
      <c r="K136" s="16"/>
      <c r="L136" s="16"/>
      <c r="M136" s="16"/>
      <c r="N136" s="18" t="str">
        <f t="shared" si="2"/>
        <v/>
      </c>
      <c r="O136" s="16"/>
    </row>
    <row r="137" spans="1:15" x14ac:dyDescent="0.3">
      <c r="A137" s="16"/>
      <c r="B137" s="16"/>
      <c r="C137" s="16"/>
      <c r="D137" s="18" t="str">
        <f>IFERROR(INDEX('Регистър на риска'!$I:$I,MATCH(A137,'Регистър на риска'!$A:$A,0)),"")</f>
        <v/>
      </c>
      <c r="E137" s="16"/>
      <c r="F137" s="16"/>
      <c r="G137" s="16"/>
      <c r="H137" s="16"/>
      <c r="I137" s="16"/>
      <c r="J137" s="16"/>
      <c r="K137" s="16"/>
      <c r="L137" s="16"/>
      <c r="M137" s="16"/>
      <c r="N137" s="18" t="str">
        <f t="shared" si="2"/>
        <v/>
      </c>
      <c r="O137" s="16"/>
    </row>
    <row r="138" spans="1:15" x14ac:dyDescent="0.3">
      <c r="A138" s="16"/>
      <c r="B138" s="16"/>
      <c r="C138" s="16"/>
      <c r="D138" s="18" t="str">
        <f>IFERROR(INDEX('Регистър на риска'!$I:$I,MATCH(A138,'Регистър на риска'!$A:$A,0)),"")</f>
        <v/>
      </c>
      <c r="E138" s="16"/>
      <c r="F138" s="16"/>
      <c r="G138" s="16"/>
      <c r="H138" s="16"/>
      <c r="I138" s="16"/>
      <c r="J138" s="16"/>
      <c r="K138" s="16"/>
      <c r="L138" s="16"/>
      <c r="M138" s="16"/>
      <c r="N138" s="18" t="str">
        <f t="shared" si="2"/>
        <v/>
      </c>
      <c r="O138" s="16"/>
    </row>
    <row r="139" spans="1:15" x14ac:dyDescent="0.3">
      <c r="A139" s="16"/>
      <c r="B139" s="16"/>
      <c r="C139" s="16"/>
      <c r="D139" s="18" t="str">
        <f>IFERROR(INDEX('Регистър на риска'!$I:$I,MATCH(A139,'Регистър на риска'!$A:$A,0)),"")</f>
        <v/>
      </c>
      <c r="E139" s="16"/>
      <c r="F139" s="16"/>
      <c r="G139" s="16"/>
      <c r="H139" s="16"/>
      <c r="I139" s="16"/>
      <c r="J139" s="16"/>
      <c r="K139" s="16"/>
      <c r="L139" s="16"/>
      <c r="M139" s="16"/>
      <c r="N139" s="18" t="str">
        <f t="shared" si="2"/>
        <v/>
      </c>
      <c r="O139" s="16"/>
    </row>
    <row r="140" spans="1:15" x14ac:dyDescent="0.3">
      <c r="A140" s="16"/>
      <c r="B140" s="16"/>
      <c r="C140" s="16"/>
      <c r="D140" s="18" t="str">
        <f>IFERROR(INDEX('Регистър на риска'!$I:$I,MATCH(A140,'Регистър на риска'!$A:$A,0)),"")</f>
        <v/>
      </c>
      <c r="E140" s="16"/>
      <c r="F140" s="16"/>
      <c r="G140" s="16"/>
      <c r="H140" s="16"/>
      <c r="I140" s="16"/>
      <c r="J140" s="16"/>
      <c r="K140" s="16"/>
      <c r="L140" s="16"/>
      <c r="M140" s="16"/>
      <c r="N140" s="18" t="str">
        <f t="shared" si="2"/>
        <v/>
      </c>
      <c r="O140" s="16"/>
    </row>
    <row r="141" spans="1:15" x14ac:dyDescent="0.3">
      <c r="A141" s="16"/>
      <c r="B141" s="16"/>
      <c r="C141" s="16"/>
      <c r="D141" s="18" t="str">
        <f>IFERROR(INDEX('Регистър на риска'!$I:$I,MATCH(A141,'Регистър на риска'!$A:$A,0)),"")</f>
        <v/>
      </c>
      <c r="E141" s="16"/>
      <c r="F141" s="16"/>
      <c r="G141" s="16"/>
      <c r="H141" s="16"/>
      <c r="I141" s="16"/>
      <c r="J141" s="16"/>
      <c r="K141" s="16"/>
      <c r="L141" s="16"/>
      <c r="M141" s="16"/>
      <c r="N141" s="18" t="str">
        <f t="shared" si="2"/>
        <v/>
      </c>
      <c r="O141" s="16"/>
    </row>
    <row r="142" spans="1:15" x14ac:dyDescent="0.3">
      <c r="A142" s="16"/>
      <c r="B142" s="16"/>
      <c r="C142" s="16"/>
      <c r="D142" s="18" t="str">
        <f>IFERROR(INDEX('Регистър на риска'!$I:$I,MATCH(A142,'Регистър на риска'!$A:$A,0)),"")</f>
        <v/>
      </c>
      <c r="E142" s="16"/>
      <c r="F142" s="16"/>
      <c r="G142" s="16"/>
      <c r="H142" s="16"/>
      <c r="I142" s="16"/>
      <c r="J142" s="16"/>
      <c r="K142" s="16"/>
      <c r="L142" s="16"/>
      <c r="M142" s="16"/>
      <c r="N142" s="18" t="str">
        <f t="shared" si="2"/>
        <v/>
      </c>
      <c r="O142" s="16"/>
    </row>
    <row r="143" spans="1:15" x14ac:dyDescent="0.3">
      <c r="A143" s="16"/>
      <c r="B143" s="16"/>
      <c r="C143" s="16"/>
      <c r="D143" s="18" t="str">
        <f>IFERROR(INDEX('Регистър на риска'!$I:$I,MATCH(A143,'Регистър на риска'!$A:$A,0)),"")</f>
        <v/>
      </c>
      <c r="E143" s="16"/>
      <c r="F143" s="16"/>
      <c r="G143" s="16"/>
      <c r="H143" s="16"/>
      <c r="I143" s="16"/>
      <c r="J143" s="16"/>
      <c r="K143" s="16"/>
      <c r="L143" s="16"/>
      <c r="M143" s="16"/>
      <c r="N143" s="18" t="str">
        <f t="shared" si="2"/>
        <v/>
      </c>
      <c r="O143" s="16"/>
    </row>
    <row r="144" spans="1:15" x14ac:dyDescent="0.3">
      <c r="A144" s="16"/>
      <c r="B144" s="16"/>
      <c r="C144" s="16"/>
      <c r="D144" s="18" t="str">
        <f>IFERROR(INDEX('Регистър на риска'!$I:$I,MATCH(A144,'Регистър на риска'!$A:$A,0)),"")</f>
        <v/>
      </c>
      <c r="E144" s="16"/>
      <c r="F144" s="16"/>
      <c r="G144" s="16"/>
      <c r="H144" s="16"/>
      <c r="I144" s="16"/>
      <c r="J144" s="16"/>
      <c r="K144" s="16"/>
      <c r="L144" s="16"/>
      <c r="M144" s="16"/>
      <c r="N144" s="18" t="str">
        <f t="shared" si="2"/>
        <v/>
      </c>
      <c r="O144" s="16"/>
    </row>
    <row r="145" spans="1:15" x14ac:dyDescent="0.3">
      <c r="A145" s="16"/>
      <c r="B145" s="16"/>
      <c r="C145" s="16"/>
      <c r="D145" s="18" t="str">
        <f>IFERROR(INDEX('Регистър на риска'!$I:$I,MATCH(A145,'Регистър на риска'!$A:$A,0)),"")</f>
        <v/>
      </c>
      <c r="E145" s="16"/>
      <c r="F145" s="16"/>
      <c r="G145" s="16"/>
      <c r="H145" s="16"/>
      <c r="I145" s="16"/>
      <c r="J145" s="16"/>
      <c r="K145" s="16"/>
      <c r="L145" s="16"/>
      <c r="M145" s="16"/>
      <c r="N145" s="18" t="str">
        <f t="shared" si="2"/>
        <v/>
      </c>
      <c r="O145" s="16"/>
    </row>
    <row r="146" spans="1:15" x14ac:dyDescent="0.3">
      <c r="A146" s="16"/>
      <c r="B146" s="16"/>
      <c r="C146" s="16"/>
      <c r="D146" s="18" t="str">
        <f>IFERROR(INDEX('Регистър на риска'!$I:$I,MATCH(A146,'Регистър на риска'!$A:$A,0)),"")</f>
        <v/>
      </c>
      <c r="E146" s="16"/>
      <c r="F146" s="16"/>
      <c r="G146" s="16"/>
      <c r="H146" s="16"/>
      <c r="I146" s="16"/>
      <c r="J146" s="16"/>
      <c r="K146" s="16"/>
      <c r="L146" s="16"/>
      <c r="M146" s="16"/>
      <c r="N146" s="18" t="str">
        <f t="shared" si="2"/>
        <v/>
      </c>
      <c r="O146" s="16"/>
    </row>
    <row r="147" spans="1:15" x14ac:dyDescent="0.3">
      <c r="A147" s="16"/>
      <c r="B147" s="16"/>
      <c r="C147" s="16"/>
      <c r="D147" s="18" t="str">
        <f>IFERROR(INDEX('Регистър на риска'!$I:$I,MATCH(A147,'Регистър на риска'!$A:$A,0)),"")</f>
        <v/>
      </c>
      <c r="E147" s="16"/>
      <c r="F147" s="16"/>
      <c r="G147" s="16"/>
      <c r="H147" s="16"/>
      <c r="I147" s="16"/>
      <c r="J147" s="16"/>
      <c r="K147" s="16"/>
      <c r="L147" s="16"/>
      <c r="M147" s="16"/>
      <c r="N147" s="18" t="str">
        <f t="shared" si="2"/>
        <v/>
      </c>
      <c r="O147" s="16"/>
    </row>
    <row r="148" spans="1:15" x14ac:dyDescent="0.3">
      <c r="A148" s="16"/>
      <c r="B148" s="16"/>
      <c r="C148" s="16"/>
      <c r="D148" s="18" t="str">
        <f>IFERROR(INDEX('Регистър на риска'!$I:$I,MATCH(A148,'Регистър на риска'!$A:$A,0)),"")</f>
        <v/>
      </c>
      <c r="E148" s="16"/>
      <c r="F148" s="16"/>
      <c r="G148" s="16"/>
      <c r="H148" s="16"/>
      <c r="I148" s="16"/>
      <c r="J148" s="16"/>
      <c r="K148" s="16"/>
      <c r="L148" s="16"/>
      <c r="M148" s="16"/>
      <c r="N148" s="18" t="str">
        <f t="shared" si="2"/>
        <v/>
      </c>
      <c r="O148" s="16"/>
    </row>
    <row r="149" spans="1:15" x14ac:dyDescent="0.3">
      <c r="A149" s="16"/>
      <c r="B149" s="16"/>
      <c r="C149" s="16"/>
      <c r="D149" s="18" t="str">
        <f>IFERROR(INDEX('Регистър на риска'!$I:$I,MATCH(A149,'Регистър на риска'!$A:$A,0)),"")</f>
        <v/>
      </c>
      <c r="E149" s="16"/>
      <c r="F149" s="16"/>
      <c r="G149" s="16"/>
      <c r="H149" s="16"/>
      <c r="I149" s="16"/>
      <c r="J149" s="16"/>
      <c r="K149" s="16"/>
      <c r="L149" s="16"/>
      <c r="M149" s="16"/>
      <c r="N149" s="18" t="str">
        <f t="shared" si="2"/>
        <v/>
      </c>
      <c r="O149" s="16"/>
    </row>
    <row r="150" spans="1:15" x14ac:dyDescent="0.3">
      <c r="A150" s="16"/>
      <c r="B150" s="16"/>
      <c r="C150" s="16"/>
      <c r="D150" s="18" t="str">
        <f>IFERROR(INDEX('Регистър на риска'!$I:$I,MATCH(A150,'Регистър на риска'!$A:$A,0)),"")</f>
        <v/>
      </c>
      <c r="E150" s="16"/>
      <c r="F150" s="16"/>
      <c r="G150" s="16"/>
      <c r="H150" s="16"/>
      <c r="I150" s="16"/>
      <c r="J150" s="16"/>
      <c r="K150" s="16"/>
      <c r="L150" s="16"/>
      <c r="M150" s="16"/>
      <c r="N150" s="18" t="str">
        <f t="shared" si="2"/>
        <v/>
      </c>
      <c r="O150" s="16"/>
    </row>
    <row r="151" spans="1:15" x14ac:dyDescent="0.3">
      <c r="A151" s="16"/>
      <c r="B151" s="16"/>
      <c r="C151" s="16"/>
      <c r="D151" s="18" t="str">
        <f>IFERROR(INDEX('Регистър на риска'!$I:$I,MATCH(A151,'Регистър на риска'!$A:$A,0)),"")</f>
        <v/>
      </c>
      <c r="E151" s="16"/>
      <c r="F151" s="16"/>
      <c r="G151" s="16"/>
      <c r="H151" s="16"/>
      <c r="I151" s="16"/>
      <c r="J151" s="16"/>
      <c r="K151" s="16"/>
      <c r="L151" s="16"/>
      <c r="M151" s="16"/>
      <c r="N151" s="18" t="str">
        <f t="shared" si="2"/>
        <v/>
      </c>
      <c r="O151" s="16"/>
    </row>
    <row r="152" spans="1:15" x14ac:dyDescent="0.3">
      <c r="A152" s="16"/>
      <c r="B152" s="16"/>
      <c r="C152" s="16"/>
      <c r="D152" s="18" t="str">
        <f>IFERROR(INDEX('Регистър на риска'!$I:$I,MATCH(A152,'Регистър на риска'!$A:$A,0)),"")</f>
        <v/>
      </c>
      <c r="E152" s="16"/>
      <c r="F152" s="16"/>
      <c r="G152" s="16"/>
      <c r="H152" s="16"/>
      <c r="I152" s="16"/>
      <c r="J152" s="16"/>
      <c r="K152" s="16"/>
      <c r="L152" s="16"/>
      <c r="M152" s="16"/>
      <c r="N152" s="18" t="str">
        <f t="shared" si="2"/>
        <v/>
      </c>
      <c r="O152" s="16"/>
    </row>
    <row r="153" spans="1:15" x14ac:dyDescent="0.3">
      <c r="A153" s="16"/>
      <c r="B153" s="16"/>
      <c r="C153" s="16"/>
      <c r="D153" s="18" t="str">
        <f>IFERROR(INDEX('Регистър на риска'!$I:$I,MATCH(A153,'Регистър на риска'!$A:$A,0)),"")</f>
        <v/>
      </c>
      <c r="E153" s="16"/>
      <c r="F153" s="16"/>
      <c r="G153" s="16"/>
      <c r="H153" s="16"/>
      <c r="I153" s="16"/>
      <c r="J153" s="16"/>
      <c r="K153" s="16"/>
      <c r="L153" s="16"/>
      <c r="M153" s="16"/>
      <c r="N153" s="18" t="str">
        <f t="shared" si="2"/>
        <v/>
      </c>
      <c r="O153" s="16"/>
    </row>
    <row r="154" spans="1:15" x14ac:dyDescent="0.3">
      <c r="A154" s="16"/>
      <c r="B154" s="16"/>
      <c r="C154" s="16"/>
      <c r="D154" s="18" t="str">
        <f>IFERROR(INDEX('Регистър на риска'!$I:$I,MATCH(A154,'Регистър на риска'!$A:$A,0)),"")</f>
        <v/>
      </c>
      <c r="E154" s="16"/>
      <c r="F154" s="16"/>
      <c r="G154" s="16"/>
      <c r="H154" s="16"/>
      <c r="I154" s="16"/>
      <c r="J154" s="16"/>
      <c r="K154" s="16"/>
      <c r="L154" s="16"/>
      <c r="M154" s="16"/>
      <c r="N154" s="18" t="str">
        <f t="shared" si="2"/>
        <v/>
      </c>
      <c r="O154" s="16"/>
    </row>
    <row r="155" spans="1:15" x14ac:dyDescent="0.3">
      <c r="A155" s="16"/>
      <c r="B155" s="16"/>
      <c r="C155" s="16"/>
      <c r="D155" s="18" t="str">
        <f>IFERROR(INDEX('Регистър на риска'!$I:$I,MATCH(A155,'Регистър на риска'!$A:$A,0)),"")</f>
        <v/>
      </c>
      <c r="E155" s="16"/>
      <c r="F155" s="16"/>
      <c r="G155" s="16"/>
      <c r="H155" s="16"/>
      <c r="I155" s="16"/>
      <c r="J155" s="16"/>
      <c r="K155" s="16"/>
      <c r="L155" s="16"/>
      <c r="M155" s="16"/>
      <c r="N155" s="18" t="str">
        <f t="shared" si="2"/>
        <v/>
      </c>
      <c r="O155" s="16"/>
    </row>
    <row r="156" spans="1:15" x14ac:dyDescent="0.3">
      <c r="A156" s="16"/>
      <c r="B156" s="16"/>
      <c r="C156" s="16"/>
      <c r="D156" s="18" t="str">
        <f>IFERROR(INDEX('Регистър на риска'!$I:$I,MATCH(A156,'Регистър на риска'!$A:$A,0)),"")</f>
        <v/>
      </c>
      <c r="E156" s="16"/>
      <c r="F156" s="16"/>
      <c r="G156" s="16"/>
      <c r="H156" s="16"/>
      <c r="I156" s="16"/>
      <c r="J156" s="16"/>
      <c r="K156" s="16"/>
      <c r="L156" s="16"/>
      <c r="M156" s="16"/>
      <c r="N156" s="18" t="str">
        <f t="shared" si="2"/>
        <v/>
      </c>
      <c r="O156" s="16"/>
    </row>
    <row r="157" spans="1:15" x14ac:dyDescent="0.3">
      <c r="A157" s="16"/>
      <c r="B157" s="16"/>
      <c r="C157" s="16"/>
      <c r="D157" s="18" t="str">
        <f>IFERROR(INDEX('Регистър на риска'!$I:$I,MATCH(A157,'Регистър на риска'!$A:$A,0)),"")</f>
        <v/>
      </c>
      <c r="E157" s="16"/>
      <c r="F157" s="16"/>
      <c r="G157" s="16"/>
      <c r="H157" s="16"/>
      <c r="I157" s="16"/>
      <c r="J157" s="16"/>
      <c r="K157" s="16"/>
      <c r="L157" s="16"/>
      <c r="M157" s="16"/>
      <c r="N157" s="18" t="str">
        <f t="shared" si="2"/>
        <v/>
      </c>
      <c r="O157" s="16"/>
    </row>
    <row r="158" spans="1:15" x14ac:dyDescent="0.3">
      <c r="A158" s="16"/>
      <c r="B158" s="16"/>
      <c r="C158" s="16"/>
      <c r="D158" s="18" t="str">
        <f>IFERROR(INDEX('Регистър на риска'!$I:$I,MATCH(A158,'Регистър на риска'!$A:$A,0)),"")</f>
        <v/>
      </c>
      <c r="E158" s="16"/>
      <c r="F158" s="16"/>
      <c r="G158" s="16"/>
      <c r="H158" s="16"/>
      <c r="I158" s="16"/>
      <c r="J158" s="16"/>
      <c r="K158" s="16"/>
      <c r="L158" s="16"/>
      <c r="M158" s="16"/>
      <c r="N158" s="18" t="str">
        <f t="shared" si="2"/>
        <v/>
      </c>
      <c r="O158" s="16"/>
    </row>
    <row r="159" spans="1:15" x14ac:dyDescent="0.3">
      <c r="A159" s="16"/>
      <c r="B159" s="16"/>
      <c r="C159" s="16"/>
      <c r="D159" s="18" t="str">
        <f>IFERROR(INDEX('Регистър на риска'!$I:$I,MATCH(A159,'Регистър на риска'!$A:$A,0)),"")</f>
        <v/>
      </c>
      <c r="E159" s="16"/>
      <c r="F159" s="16"/>
      <c r="G159" s="16"/>
      <c r="H159" s="16"/>
      <c r="I159" s="16"/>
      <c r="J159" s="16"/>
      <c r="K159" s="16"/>
      <c r="L159" s="16"/>
      <c r="M159" s="16"/>
      <c r="N159" s="18" t="str">
        <f t="shared" si="2"/>
        <v/>
      </c>
      <c r="O159" s="16"/>
    </row>
    <row r="160" spans="1:15" x14ac:dyDescent="0.3">
      <c r="A160" s="16"/>
      <c r="B160" s="16"/>
      <c r="C160" s="16"/>
      <c r="D160" s="18" t="str">
        <f>IFERROR(INDEX('Регистър на риска'!$I:$I,MATCH(A160,'Регистър на риска'!$A:$A,0)),"")</f>
        <v/>
      </c>
      <c r="E160" s="16"/>
      <c r="F160" s="16"/>
      <c r="G160" s="16"/>
      <c r="H160" s="16"/>
      <c r="I160" s="16"/>
      <c r="J160" s="16"/>
      <c r="K160" s="16"/>
      <c r="L160" s="16"/>
      <c r="M160" s="16"/>
      <c r="N160" s="18" t="str">
        <f t="shared" si="2"/>
        <v/>
      </c>
      <c r="O160" s="16"/>
    </row>
    <row r="161" spans="1:15" x14ac:dyDescent="0.3">
      <c r="A161" s="16"/>
      <c r="B161" s="16"/>
      <c r="C161" s="16"/>
      <c r="D161" s="18" t="str">
        <f>IFERROR(INDEX('Регистър на риска'!$I:$I,MATCH(A161,'Регистър на риска'!$A:$A,0)),"")</f>
        <v/>
      </c>
      <c r="E161" s="16"/>
      <c r="F161" s="16"/>
      <c r="G161" s="16"/>
      <c r="H161" s="16"/>
      <c r="I161" s="16"/>
      <c r="J161" s="16"/>
      <c r="K161" s="16"/>
      <c r="L161" s="16"/>
      <c r="M161" s="16"/>
      <c r="N161" s="18" t="str">
        <f t="shared" si="2"/>
        <v/>
      </c>
      <c r="O161" s="16"/>
    </row>
    <row r="162" spans="1:15" x14ac:dyDescent="0.3">
      <c r="A162" s="16"/>
      <c r="B162" s="16"/>
      <c r="C162" s="16"/>
      <c r="D162" s="18" t="str">
        <f>IFERROR(INDEX('Регистър на риска'!$I:$I,MATCH(A162,'Регистър на риска'!$A:$A,0)),"")</f>
        <v/>
      </c>
      <c r="E162" s="16"/>
      <c r="F162" s="16"/>
      <c r="G162" s="16"/>
      <c r="H162" s="16"/>
      <c r="I162" s="16"/>
      <c r="J162" s="16"/>
      <c r="K162" s="16"/>
      <c r="L162" s="16"/>
      <c r="M162" s="16"/>
      <c r="N162" s="18" t="str">
        <f t="shared" si="2"/>
        <v/>
      </c>
      <c r="O162" s="16"/>
    </row>
    <row r="163" spans="1:15" x14ac:dyDescent="0.3">
      <c r="A163" s="16"/>
      <c r="B163" s="16"/>
      <c r="C163" s="16"/>
      <c r="D163" s="18" t="str">
        <f>IFERROR(INDEX('Регистър на риска'!$I:$I,MATCH(A163,'Регистър на риска'!$A:$A,0)),"")</f>
        <v/>
      </c>
      <c r="E163" s="16"/>
      <c r="F163" s="16"/>
      <c r="G163" s="16"/>
      <c r="H163" s="16"/>
      <c r="I163" s="16"/>
      <c r="J163" s="16"/>
      <c r="K163" s="16"/>
      <c r="L163" s="16"/>
      <c r="M163" s="16"/>
      <c r="N163" s="18" t="str">
        <f t="shared" si="2"/>
        <v/>
      </c>
      <c r="O163" s="16"/>
    </row>
    <row r="164" spans="1:15" x14ac:dyDescent="0.3">
      <c r="A164" s="16"/>
      <c r="B164" s="16"/>
      <c r="C164" s="16"/>
      <c r="D164" s="18" t="str">
        <f>IFERROR(INDEX('Регистър на риска'!$I:$I,MATCH(A164,'Регистър на риска'!$A:$A,0)),"")</f>
        <v/>
      </c>
      <c r="E164" s="16"/>
      <c r="F164" s="16"/>
      <c r="G164" s="16"/>
      <c r="H164" s="16"/>
      <c r="I164" s="16"/>
      <c r="J164" s="16"/>
      <c r="K164" s="16"/>
      <c r="L164" s="16"/>
      <c r="M164" s="16"/>
      <c r="N164" s="18" t="str">
        <f t="shared" si="2"/>
        <v/>
      </c>
      <c r="O164" s="16"/>
    </row>
    <row r="165" spans="1:15" x14ac:dyDescent="0.3">
      <c r="A165" s="16"/>
      <c r="B165" s="16"/>
      <c r="C165" s="16"/>
      <c r="D165" s="18" t="str">
        <f>IFERROR(INDEX('Регистър на риска'!$I:$I,MATCH(A165,'Регистър на риска'!$A:$A,0)),"")</f>
        <v/>
      </c>
      <c r="E165" s="16"/>
      <c r="F165" s="16"/>
      <c r="G165" s="16"/>
      <c r="H165" s="16"/>
      <c r="I165" s="16"/>
      <c r="J165" s="16"/>
      <c r="K165" s="16"/>
      <c r="L165" s="16"/>
      <c r="M165" s="16"/>
      <c r="N165" s="18" t="str">
        <f t="shared" si="2"/>
        <v/>
      </c>
      <c r="O165" s="16"/>
    </row>
    <row r="166" spans="1:15" x14ac:dyDescent="0.3">
      <c r="A166" s="16"/>
      <c r="B166" s="16"/>
      <c r="C166" s="16"/>
      <c r="D166" s="18" t="str">
        <f>IFERROR(INDEX('Регистър на риска'!$I:$I,MATCH(A166,'Регистър на риска'!$A:$A,0)),"")</f>
        <v/>
      </c>
      <c r="E166" s="16"/>
      <c r="F166" s="16"/>
      <c r="G166" s="16"/>
      <c r="H166" s="16"/>
      <c r="I166" s="16"/>
      <c r="J166" s="16"/>
      <c r="K166" s="16"/>
      <c r="L166" s="16"/>
      <c r="M166" s="16"/>
      <c r="N166" s="18" t="str">
        <f t="shared" si="2"/>
        <v/>
      </c>
      <c r="O166" s="16"/>
    </row>
    <row r="167" spans="1:15" x14ac:dyDescent="0.3">
      <c r="A167" s="16"/>
      <c r="B167" s="16"/>
      <c r="C167" s="16"/>
      <c r="D167" s="18" t="str">
        <f>IFERROR(INDEX('Регистър на риска'!$I:$I,MATCH(A167,'Регистър на риска'!$A:$A,0)),"")</f>
        <v/>
      </c>
      <c r="E167" s="16"/>
      <c r="F167" s="16"/>
      <c r="G167" s="16"/>
      <c r="H167" s="16"/>
      <c r="I167" s="16"/>
      <c r="J167" s="16"/>
      <c r="K167" s="16"/>
      <c r="L167" s="16"/>
      <c r="M167" s="16"/>
      <c r="N167" s="18" t="str">
        <f t="shared" si="2"/>
        <v/>
      </c>
      <c r="O167" s="16"/>
    </row>
    <row r="168" spans="1:15" x14ac:dyDescent="0.3">
      <c r="A168" s="16"/>
      <c r="B168" s="16"/>
      <c r="C168" s="16"/>
      <c r="D168" s="18" t="str">
        <f>IFERROR(INDEX('Регистър на риска'!$I:$I,MATCH(A168,'Регистър на риска'!$A:$A,0)),"")</f>
        <v/>
      </c>
      <c r="E168" s="16"/>
      <c r="F168" s="16"/>
      <c r="G168" s="16"/>
      <c r="H168" s="16"/>
      <c r="I168" s="16"/>
      <c r="J168" s="16"/>
      <c r="K168" s="16"/>
      <c r="L168" s="16"/>
      <c r="M168" s="16"/>
      <c r="N168" s="18" t="str">
        <f t="shared" si="2"/>
        <v/>
      </c>
      <c r="O168" s="16"/>
    </row>
    <row r="169" spans="1:15" x14ac:dyDescent="0.3">
      <c r="A169" s="16"/>
      <c r="B169" s="16"/>
      <c r="C169" s="16"/>
      <c r="D169" s="18" t="str">
        <f>IFERROR(INDEX('Регистър на риска'!$I:$I,MATCH(A169,'Регистър на риска'!$A:$A,0)),"")</f>
        <v/>
      </c>
      <c r="E169" s="16"/>
      <c r="F169" s="16"/>
      <c r="G169" s="16"/>
      <c r="H169" s="16"/>
      <c r="I169" s="16"/>
      <c r="J169" s="16"/>
      <c r="K169" s="16"/>
      <c r="L169" s="16"/>
      <c r="M169" s="16"/>
      <c r="N169" s="18" t="str">
        <f t="shared" si="2"/>
        <v/>
      </c>
      <c r="O169" s="16"/>
    </row>
    <row r="170" spans="1:15" x14ac:dyDescent="0.3">
      <c r="A170" s="16"/>
      <c r="B170" s="16"/>
      <c r="C170" s="16"/>
      <c r="D170" s="18" t="str">
        <f>IFERROR(INDEX('Регистър на риска'!$I:$I,MATCH(A170,'Регистър на риска'!$A:$A,0)),"")</f>
        <v/>
      </c>
      <c r="E170" s="16"/>
      <c r="F170" s="16"/>
      <c r="G170" s="16"/>
      <c r="H170" s="16"/>
      <c r="I170" s="16"/>
      <c r="J170" s="16"/>
      <c r="K170" s="16"/>
      <c r="L170" s="16"/>
      <c r="M170" s="16"/>
      <c r="N170" s="18" t="str">
        <f t="shared" si="2"/>
        <v/>
      </c>
      <c r="O170" s="16"/>
    </row>
    <row r="171" spans="1:15" x14ac:dyDescent="0.3">
      <c r="A171" s="16"/>
      <c r="B171" s="16"/>
      <c r="C171" s="16"/>
      <c r="D171" s="18" t="str">
        <f>IFERROR(INDEX('Регистър на риска'!$I:$I,MATCH(A171,'Регистър на риска'!$A:$A,0)),"")</f>
        <v/>
      </c>
      <c r="E171" s="16"/>
      <c r="F171" s="16"/>
      <c r="G171" s="16"/>
      <c r="H171" s="16"/>
      <c r="I171" s="16"/>
      <c r="J171" s="16"/>
      <c r="K171" s="16"/>
      <c r="L171" s="16"/>
      <c r="M171" s="16"/>
      <c r="N171" s="18" t="str">
        <f t="shared" si="2"/>
        <v/>
      </c>
      <c r="O171" s="16"/>
    </row>
    <row r="172" spans="1:15" x14ac:dyDescent="0.3">
      <c r="A172" s="16"/>
      <c r="B172" s="16"/>
      <c r="C172" s="16"/>
      <c r="D172" s="18" t="str">
        <f>IFERROR(INDEX('Регистър на риска'!$I:$I,MATCH(A172,'Регистър на риска'!$A:$A,0)),"")</f>
        <v/>
      </c>
      <c r="E172" s="16"/>
      <c r="F172" s="16"/>
      <c r="G172" s="16"/>
      <c r="H172" s="16"/>
      <c r="I172" s="16"/>
      <c r="J172" s="16"/>
      <c r="K172" s="16"/>
      <c r="L172" s="16"/>
      <c r="M172" s="16"/>
      <c r="N172" s="18" t="str">
        <f t="shared" si="2"/>
        <v/>
      </c>
      <c r="O172" s="16"/>
    </row>
    <row r="173" spans="1:15" x14ac:dyDescent="0.3">
      <c r="A173" s="16"/>
      <c r="B173" s="16"/>
      <c r="C173" s="16"/>
      <c r="D173" s="18" t="str">
        <f>IFERROR(INDEX('Регистър на риска'!$I:$I,MATCH(A173,'Регистър на риска'!$A:$A,0)),"")</f>
        <v/>
      </c>
      <c r="E173" s="16"/>
      <c r="F173" s="16"/>
      <c r="G173" s="16"/>
      <c r="H173" s="16"/>
      <c r="I173" s="16"/>
      <c r="J173" s="16"/>
      <c r="K173" s="16"/>
      <c r="L173" s="16"/>
      <c r="M173" s="16"/>
      <c r="N173" s="18" t="str">
        <f t="shared" si="2"/>
        <v/>
      </c>
      <c r="O173" s="16"/>
    </row>
    <row r="174" spans="1:15" x14ac:dyDescent="0.3">
      <c r="A174" s="16"/>
      <c r="B174" s="16"/>
      <c r="C174" s="16"/>
      <c r="D174" s="18" t="str">
        <f>IFERROR(INDEX('Регистър на риска'!$I:$I,MATCH(A174,'Регистър на риска'!$A:$A,0)),"")</f>
        <v/>
      </c>
      <c r="E174" s="16"/>
      <c r="F174" s="16"/>
      <c r="G174" s="16"/>
      <c r="H174" s="16"/>
      <c r="I174" s="16"/>
      <c r="J174" s="16"/>
      <c r="K174" s="16"/>
      <c r="L174" s="16"/>
      <c r="M174" s="16"/>
      <c r="N174" s="18" t="str">
        <f t="shared" si="2"/>
        <v/>
      </c>
      <c r="O174" s="16"/>
    </row>
    <row r="175" spans="1:15" x14ac:dyDescent="0.3">
      <c r="A175" s="16"/>
      <c r="B175" s="16"/>
      <c r="C175" s="16"/>
      <c r="D175" s="18" t="str">
        <f>IFERROR(INDEX('Регистър на риска'!$I:$I,MATCH(A175,'Регистър на риска'!$A:$A,0)),"")</f>
        <v/>
      </c>
      <c r="E175" s="16"/>
      <c r="F175" s="16"/>
      <c r="G175" s="16"/>
      <c r="H175" s="16"/>
      <c r="I175" s="16"/>
      <c r="J175" s="16"/>
      <c r="K175" s="16"/>
      <c r="L175" s="16"/>
      <c r="M175" s="16"/>
      <c r="N175" s="18" t="str">
        <f t="shared" si="2"/>
        <v/>
      </c>
      <c r="O175" s="16"/>
    </row>
    <row r="176" spans="1:15" x14ac:dyDescent="0.3">
      <c r="A176" s="16"/>
      <c r="B176" s="16"/>
      <c r="C176" s="16"/>
      <c r="D176" s="18" t="str">
        <f>IFERROR(INDEX('Регистър на риска'!$I:$I,MATCH(A176,'Регистър на риска'!$A:$A,0)),"")</f>
        <v/>
      </c>
      <c r="E176" s="16"/>
      <c r="F176" s="16"/>
      <c r="G176" s="16"/>
      <c r="H176" s="16"/>
      <c r="I176" s="16"/>
      <c r="J176" s="16"/>
      <c r="K176" s="16"/>
      <c r="L176" s="16"/>
      <c r="M176" s="16"/>
      <c r="N176" s="18" t="str">
        <f t="shared" si="2"/>
        <v/>
      </c>
      <c r="O176" s="16"/>
    </row>
    <row r="177" spans="1:15" x14ac:dyDescent="0.3">
      <c r="A177" s="16"/>
      <c r="B177" s="16"/>
      <c r="C177" s="16"/>
      <c r="D177" s="18" t="str">
        <f>IFERROR(INDEX('Регистър на риска'!$I:$I,MATCH(A177,'Регистър на риска'!$A:$A,0)),"")</f>
        <v/>
      </c>
      <c r="E177" s="16"/>
      <c r="F177" s="16"/>
      <c r="G177" s="16"/>
      <c r="H177" s="16"/>
      <c r="I177" s="16"/>
      <c r="J177" s="16"/>
      <c r="K177" s="16"/>
      <c r="L177" s="16"/>
      <c r="M177" s="16"/>
      <c r="N177" s="18" t="str">
        <f t="shared" si="2"/>
        <v/>
      </c>
      <c r="O177" s="16"/>
    </row>
    <row r="178" spans="1:15" x14ac:dyDescent="0.3">
      <c r="A178" s="16"/>
      <c r="B178" s="16"/>
      <c r="C178" s="16"/>
      <c r="D178" s="18" t="str">
        <f>IFERROR(INDEX('Регистър на риска'!$I:$I,MATCH(A178,'Регистър на риска'!$A:$A,0)),"")</f>
        <v/>
      </c>
      <c r="E178" s="16"/>
      <c r="F178" s="16"/>
      <c r="G178" s="16"/>
      <c r="H178" s="16"/>
      <c r="I178" s="16"/>
      <c r="J178" s="16"/>
      <c r="K178" s="16"/>
      <c r="L178" s="16"/>
      <c r="M178" s="16"/>
      <c r="N178" s="18" t="str">
        <f t="shared" si="2"/>
        <v/>
      </c>
      <c r="O178" s="16"/>
    </row>
    <row r="179" spans="1:15" x14ac:dyDescent="0.3">
      <c r="A179" s="16"/>
      <c r="B179" s="16"/>
      <c r="C179" s="16"/>
      <c r="D179" s="18" t="str">
        <f>IFERROR(INDEX('Регистър на риска'!$I:$I,MATCH(A179,'Регистър на риска'!$A:$A,0)),"")</f>
        <v/>
      </c>
      <c r="E179" s="16"/>
      <c r="F179" s="16"/>
      <c r="G179" s="16"/>
      <c r="H179" s="16"/>
      <c r="I179" s="16"/>
      <c r="J179" s="16"/>
      <c r="K179" s="16"/>
      <c r="L179" s="16"/>
      <c r="M179" s="16"/>
      <c r="N179" s="18" t="str">
        <f t="shared" si="2"/>
        <v/>
      </c>
      <c r="O179" s="16"/>
    </row>
    <row r="180" spans="1:15" x14ac:dyDescent="0.3">
      <c r="A180" s="16"/>
      <c r="B180" s="16"/>
      <c r="C180" s="16"/>
      <c r="D180" s="18" t="str">
        <f>IFERROR(INDEX('Регистър на риска'!$I:$I,MATCH(A180,'Регистър на риска'!$A:$A,0)),"")</f>
        <v/>
      </c>
      <c r="E180" s="16"/>
      <c r="F180" s="16"/>
      <c r="G180" s="16"/>
      <c r="H180" s="16"/>
      <c r="I180" s="16"/>
      <c r="J180" s="16"/>
      <c r="K180" s="16"/>
      <c r="L180" s="16"/>
      <c r="M180" s="16"/>
      <c r="N180" s="18" t="str">
        <f t="shared" si="2"/>
        <v/>
      </c>
      <c r="O180" s="16"/>
    </row>
    <row r="181" spans="1:15" x14ac:dyDescent="0.3">
      <c r="A181" s="16"/>
      <c r="B181" s="16"/>
      <c r="C181" s="16"/>
      <c r="D181" s="18" t="str">
        <f>IFERROR(INDEX('Регистър на риска'!$I:$I,MATCH(A181,'Регистър на риска'!$A:$A,0)),"")</f>
        <v/>
      </c>
      <c r="E181" s="16"/>
      <c r="F181" s="16"/>
      <c r="G181" s="16"/>
      <c r="H181" s="16"/>
      <c r="I181" s="16"/>
      <c r="J181" s="16"/>
      <c r="K181" s="16"/>
      <c r="L181" s="16"/>
      <c r="M181" s="16"/>
      <c r="N181" s="18" t="str">
        <f t="shared" si="2"/>
        <v/>
      </c>
      <c r="O181" s="16"/>
    </row>
    <row r="182" spans="1:15" x14ac:dyDescent="0.3">
      <c r="A182" s="16"/>
      <c r="B182" s="16"/>
      <c r="C182" s="16"/>
      <c r="D182" s="18" t="str">
        <f>IFERROR(INDEX('Регистър на риска'!$I:$I,MATCH(A182,'Регистър на риска'!$A:$A,0)),"")</f>
        <v/>
      </c>
      <c r="E182" s="16"/>
      <c r="F182" s="16"/>
      <c r="G182" s="16"/>
      <c r="H182" s="16"/>
      <c r="I182" s="16"/>
      <c r="J182" s="16"/>
      <c r="K182" s="16"/>
      <c r="L182" s="16"/>
      <c r="M182" s="16"/>
      <c r="N182" s="18" t="str">
        <f t="shared" si="2"/>
        <v/>
      </c>
      <c r="O182" s="16"/>
    </row>
    <row r="183" spans="1:15" x14ac:dyDescent="0.3">
      <c r="A183" s="16"/>
      <c r="B183" s="16"/>
      <c r="C183" s="16"/>
      <c r="D183" s="18" t="str">
        <f>IFERROR(INDEX('Регистър на риска'!$I:$I,MATCH(A183,'Регистър на риска'!$A:$A,0)),"")</f>
        <v/>
      </c>
      <c r="E183" s="16"/>
      <c r="F183" s="16"/>
      <c r="G183" s="16"/>
      <c r="H183" s="16"/>
      <c r="I183" s="16"/>
      <c r="J183" s="16"/>
      <c r="K183" s="16"/>
      <c r="L183" s="16"/>
      <c r="M183" s="16"/>
      <c r="N183" s="18" t="str">
        <f t="shared" si="2"/>
        <v/>
      </c>
      <c r="O183" s="16"/>
    </row>
    <row r="184" spans="1:15" x14ac:dyDescent="0.3">
      <c r="A184" s="16"/>
      <c r="B184" s="16"/>
      <c r="C184" s="16"/>
      <c r="D184" s="18" t="str">
        <f>IFERROR(INDEX('Регистър на риска'!$I:$I,MATCH(A184,'Регистър на риска'!$A:$A,0)),"")</f>
        <v/>
      </c>
      <c r="E184" s="16"/>
      <c r="F184" s="16"/>
      <c r="G184" s="16"/>
      <c r="H184" s="16"/>
      <c r="I184" s="16"/>
      <c r="J184" s="16"/>
      <c r="K184" s="16"/>
      <c r="L184" s="16"/>
      <c r="M184" s="16"/>
      <c r="N184" s="18" t="str">
        <f t="shared" si="2"/>
        <v/>
      </c>
      <c r="O184" s="16"/>
    </row>
    <row r="185" spans="1:15" x14ac:dyDescent="0.3">
      <c r="A185" s="16"/>
      <c r="B185" s="16"/>
      <c r="C185" s="16"/>
      <c r="D185" s="18" t="str">
        <f>IFERROR(INDEX('Регистър на риска'!$I:$I,MATCH(A185,'Регистър на риска'!$A:$A,0)),"")</f>
        <v/>
      </c>
      <c r="E185" s="16"/>
      <c r="F185" s="16"/>
      <c r="G185" s="16"/>
      <c r="H185" s="16"/>
      <c r="I185" s="16"/>
      <c r="J185" s="16"/>
      <c r="K185" s="16"/>
      <c r="L185" s="16"/>
      <c r="M185" s="16"/>
      <c r="N185" s="18" t="str">
        <f t="shared" si="2"/>
        <v/>
      </c>
      <c r="O185" s="16"/>
    </row>
    <row r="186" spans="1:15" x14ac:dyDescent="0.3">
      <c r="A186" s="16"/>
      <c r="B186" s="16"/>
      <c r="C186" s="16"/>
      <c r="D186" s="18" t="str">
        <f>IFERROR(INDEX('Регистър на риска'!$I:$I,MATCH(A186,'Регистър на риска'!$A:$A,0)),"")</f>
        <v/>
      </c>
      <c r="E186" s="16"/>
      <c r="F186" s="16"/>
      <c r="G186" s="16"/>
      <c r="H186" s="16"/>
      <c r="I186" s="16"/>
      <c r="J186" s="16"/>
      <c r="K186" s="16"/>
      <c r="L186" s="16"/>
      <c r="M186" s="16"/>
      <c r="N186" s="18" t="str">
        <f t="shared" si="2"/>
        <v/>
      </c>
      <c r="O186" s="16"/>
    </row>
    <row r="187" spans="1:15" x14ac:dyDescent="0.3">
      <c r="A187" s="16"/>
      <c r="B187" s="16"/>
      <c r="C187" s="16"/>
      <c r="D187" s="18" t="str">
        <f>IFERROR(INDEX('Регистър на риска'!$I:$I,MATCH(A187,'Регистър на риска'!$A:$A,0)),"")</f>
        <v/>
      </c>
      <c r="E187" s="16"/>
      <c r="F187" s="16"/>
      <c r="G187" s="16"/>
      <c r="H187" s="16"/>
      <c r="I187" s="16"/>
      <c r="J187" s="16"/>
      <c r="K187" s="16"/>
      <c r="L187" s="16"/>
      <c r="M187" s="16"/>
      <c r="N187" s="18" t="str">
        <f t="shared" si="2"/>
        <v/>
      </c>
      <c r="O187" s="16"/>
    </row>
    <row r="188" spans="1:15" x14ac:dyDescent="0.3">
      <c r="A188" s="16"/>
      <c r="B188" s="16"/>
      <c r="C188" s="16"/>
      <c r="D188" s="18" t="str">
        <f>IFERROR(INDEX('Регистър на риска'!$I:$I,MATCH(A188,'Регистър на риска'!$A:$A,0)),"")</f>
        <v/>
      </c>
      <c r="E188" s="16"/>
      <c r="F188" s="16"/>
      <c r="G188" s="16"/>
      <c r="H188" s="16"/>
      <c r="I188" s="16"/>
      <c r="J188" s="16"/>
      <c r="K188" s="16"/>
      <c r="L188" s="16"/>
      <c r="M188" s="16"/>
      <c r="N188" s="18" t="str">
        <f t="shared" si="2"/>
        <v/>
      </c>
      <c r="O188" s="16"/>
    </row>
    <row r="189" spans="1:15" x14ac:dyDescent="0.3">
      <c r="A189" s="16"/>
      <c r="B189" s="16"/>
      <c r="C189" s="16"/>
      <c r="D189" s="18" t="str">
        <f>IFERROR(INDEX('Регистър на риска'!$I:$I,MATCH(A189,'Регистър на риска'!$A:$A,0)),"")</f>
        <v/>
      </c>
      <c r="E189" s="16"/>
      <c r="F189" s="16"/>
      <c r="G189" s="16"/>
      <c r="H189" s="16"/>
      <c r="I189" s="16"/>
      <c r="J189" s="16"/>
      <c r="K189" s="16"/>
      <c r="L189" s="16"/>
      <c r="M189" s="16"/>
      <c r="N189" s="18" t="str">
        <f t="shared" si="2"/>
        <v/>
      </c>
      <c r="O189" s="16"/>
    </row>
    <row r="190" spans="1:15" x14ac:dyDescent="0.3">
      <c r="A190" s="16"/>
      <c r="B190" s="16"/>
      <c r="C190" s="16"/>
      <c r="D190" s="18" t="str">
        <f>IFERROR(INDEX('Регистър на риска'!$I:$I,MATCH(A190,'Регистър на риска'!$A:$A,0)),"")</f>
        <v/>
      </c>
      <c r="E190" s="16"/>
      <c r="F190" s="16"/>
      <c r="G190" s="16"/>
      <c r="H190" s="16"/>
      <c r="I190" s="16"/>
      <c r="J190" s="16"/>
      <c r="K190" s="16"/>
      <c r="L190" s="16"/>
      <c r="M190" s="16"/>
      <c r="N190" s="18" t="str">
        <f t="shared" si="2"/>
        <v/>
      </c>
      <c r="O190" s="16"/>
    </row>
    <row r="191" spans="1:15" x14ac:dyDescent="0.3">
      <c r="A191" s="16"/>
      <c r="B191" s="16"/>
      <c r="C191" s="16"/>
      <c r="D191" s="18" t="str">
        <f>IFERROR(INDEX('Регистър на риска'!$I:$I,MATCH(A191,'Регистър на риска'!$A:$A,0)),"")</f>
        <v/>
      </c>
      <c r="E191" s="16"/>
      <c r="F191" s="16"/>
      <c r="G191" s="16"/>
      <c r="H191" s="16"/>
      <c r="I191" s="16"/>
      <c r="J191" s="16"/>
      <c r="K191" s="16"/>
      <c r="L191" s="16"/>
      <c r="M191" s="16"/>
      <c r="N191" s="18" t="str">
        <f t="shared" si="2"/>
        <v/>
      </c>
      <c r="O191" s="16"/>
    </row>
    <row r="192" spans="1:15" x14ac:dyDescent="0.3">
      <c r="A192" s="16"/>
      <c r="B192" s="16"/>
      <c r="C192" s="16"/>
      <c r="D192" s="18" t="str">
        <f>IFERROR(INDEX('Регистър на риска'!$I:$I,MATCH(A192,'Регистър на риска'!$A:$A,0)),"")</f>
        <v/>
      </c>
      <c r="E192" s="16"/>
      <c r="F192" s="16"/>
      <c r="G192" s="16"/>
      <c r="H192" s="16"/>
      <c r="I192" s="16"/>
      <c r="J192" s="16"/>
      <c r="K192" s="16"/>
      <c r="L192" s="16"/>
      <c r="M192" s="16"/>
      <c r="N192" s="18" t="str">
        <f t="shared" si="2"/>
        <v/>
      </c>
      <c r="O192" s="16"/>
    </row>
    <row r="193" spans="1:15" x14ac:dyDescent="0.3">
      <c r="A193" s="16"/>
      <c r="B193" s="16"/>
      <c r="C193" s="16"/>
      <c r="D193" s="18" t="str">
        <f>IFERROR(INDEX('Регистър на риска'!$I:$I,MATCH(A193,'Регистър на риска'!$A:$A,0)),"")</f>
        <v/>
      </c>
      <c r="E193" s="16"/>
      <c r="F193" s="16"/>
      <c r="G193" s="16"/>
      <c r="H193" s="16"/>
      <c r="I193" s="16"/>
      <c r="J193" s="16"/>
      <c r="K193" s="16"/>
      <c r="L193" s="16"/>
      <c r="M193" s="16"/>
      <c r="N193" s="18" t="str">
        <f t="shared" si="2"/>
        <v/>
      </c>
      <c r="O193" s="16"/>
    </row>
    <row r="194" spans="1:15" x14ac:dyDescent="0.3">
      <c r="A194" s="16"/>
      <c r="B194" s="16"/>
      <c r="C194" s="16"/>
      <c r="D194" s="18" t="str">
        <f>IFERROR(INDEX('Регистър на риска'!$I:$I,MATCH(A194,'Регистър на риска'!$A:$A,0)),"")</f>
        <v/>
      </c>
      <c r="E194" s="16"/>
      <c r="F194" s="16"/>
      <c r="G194" s="16"/>
      <c r="H194" s="16"/>
      <c r="I194" s="16"/>
      <c r="J194" s="16"/>
      <c r="K194" s="16"/>
      <c r="L194" s="16"/>
      <c r="M194" s="16"/>
      <c r="N194" s="18" t="str">
        <f t="shared" ref="N194:N210" si="3">IF(OR(L194="",M194=""),"",L194*M194)</f>
        <v/>
      </c>
      <c r="O194" s="16"/>
    </row>
    <row r="195" spans="1:15" x14ac:dyDescent="0.3">
      <c r="A195" s="16"/>
      <c r="B195" s="16"/>
      <c r="C195" s="16"/>
      <c r="D195" s="18" t="str">
        <f>IFERROR(INDEX('Регистър на риска'!$I:$I,MATCH(A195,'Регистър на риска'!$A:$A,0)),"")</f>
        <v/>
      </c>
      <c r="E195" s="16"/>
      <c r="F195" s="16"/>
      <c r="G195" s="16"/>
      <c r="H195" s="16"/>
      <c r="I195" s="16"/>
      <c r="J195" s="16"/>
      <c r="K195" s="16"/>
      <c r="L195" s="16"/>
      <c r="M195" s="16"/>
      <c r="N195" s="18" t="str">
        <f t="shared" si="3"/>
        <v/>
      </c>
      <c r="O195" s="16"/>
    </row>
    <row r="196" spans="1:15" x14ac:dyDescent="0.3">
      <c r="A196" s="16"/>
      <c r="B196" s="16"/>
      <c r="C196" s="16"/>
      <c r="D196" s="18" t="str">
        <f>IFERROR(INDEX('Регистър на риска'!$I:$I,MATCH(A196,'Регистър на риска'!$A:$A,0)),"")</f>
        <v/>
      </c>
      <c r="E196" s="16"/>
      <c r="F196" s="16"/>
      <c r="G196" s="16"/>
      <c r="H196" s="16"/>
      <c r="I196" s="16"/>
      <c r="J196" s="16"/>
      <c r="K196" s="16"/>
      <c r="L196" s="16"/>
      <c r="M196" s="16"/>
      <c r="N196" s="18" t="str">
        <f t="shared" si="3"/>
        <v/>
      </c>
      <c r="O196" s="16"/>
    </row>
    <row r="197" spans="1:15" x14ac:dyDescent="0.3">
      <c r="A197" s="16"/>
      <c r="B197" s="16"/>
      <c r="C197" s="16"/>
      <c r="D197" s="18" t="str">
        <f>IFERROR(INDEX('Регистър на риска'!$I:$I,MATCH(A197,'Регистър на риска'!$A:$A,0)),"")</f>
        <v/>
      </c>
      <c r="E197" s="16"/>
      <c r="F197" s="16"/>
      <c r="G197" s="16"/>
      <c r="H197" s="16"/>
      <c r="I197" s="16"/>
      <c r="J197" s="16"/>
      <c r="K197" s="16"/>
      <c r="L197" s="16"/>
      <c r="M197" s="16"/>
      <c r="N197" s="18" t="str">
        <f t="shared" si="3"/>
        <v/>
      </c>
      <c r="O197" s="16"/>
    </row>
    <row r="198" spans="1:15" x14ac:dyDescent="0.3">
      <c r="A198" s="16"/>
      <c r="B198" s="16"/>
      <c r="C198" s="16"/>
      <c r="D198" s="18" t="str">
        <f>IFERROR(INDEX('Регистър на риска'!$I:$I,MATCH(A198,'Регистър на риска'!$A:$A,0)),"")</f>
        <v/>
      </c>
      <c r="E198" s="16"/>
      <c r="F198" s="16"/>
      <c r="G198" s="16"/>
      <c r="H198" s="16"/>
      <c r="I198" s="16"/>
      <c r="J198" s="16"/>
      <c r="K198" s="16"/>
      <c r="L198" s="16"/>
      <c r="M198" s="16"/>
      <c r="N198" s="18" t="str">
        <f t="shared" si="3"/>
        <v/>
      </c>
      <c r="O198" s="16"/>
    </row>
    <row r="199" spans="1:15" x14ac:dyDescent="0.3">
      <c r="A199" s="16"/>
      <c r="B199" s="16"/>
      <c r="C199" s="16"/>
      <c r="D199" s="18" t="str">
        <f>IFERROR(INDEX('Регистър на риска'!$I:$I,MATCH(A199,'Регистър на риска'!$A:$A,0)),"")</f>
        <v/>
      </c>
      <c r="E199" s="16"/>
      <c r="F199" s="16"/>
      <c r="G199" s="16"/>
      <c r="H199" s="16"/>
      <c r="I199" s="16"/>
      <c r="J199" s="16"/>
      <c r="K199" s="16"/>
      <c r="L199" s="16"/>
      <c r="M199" s="16"/>
      <c r="N199" s="18" t="str">
        <f t="shared" si="3"/>
        <v/>
      </c>
      <c r="O199" s="16"/>
    </row>
    <row r="200" spans="1:15" x14ac:dyDescent="0.3">
      <c r="A200" s="16"/>
      <c r="B200" s="16"/>
      <c r="C200" s="16"/>
      <c r="D200" s="18" t="str">
        <f>IFERROR(INDEX('Регистър на риска'!$I:$I,MATCH(A200,'Регистър на риска'!$A:$A,0)),"")</f>
        <v/>
      </c>
      <c r="E200" s="16"/>
      <c r="F200" s="16"/>
      <c r="G200" s="16"/>
      <c r="H200" s="16"/>
      <c r="I200" s="16"/>
      <c r="J200" s="16"/>
      <c r="K200" s="16"/>
      <c r="L200" s="16"/>
      <c r="M200" s="16"/>
      <c r="N200" s="18" t="str">
        <f t="shared" si="3"/>
        <v/>
      </c>
      <c r="O200" s="16"/>
    </row>
    <row r="201" spans="1:15" x14ac:dyDescent="0.3">
      <c r="A201" s="16"/>
      <c r="B201" s="16"/>
      <c r="C201" s="16"/>
      <c r="D201" s="18" t="str">
        <f>IFERROR(INDEX('Регистър на риска'!$I:$I,MATCH(A201,'Регистър на риска'!$A:$A,0)),"")</f>
        <v/>
      </c>
      <c r="E201" s="16"/>
      <c r="F201" s="16"/>
      <c r="G201" s="16"/>
      <c r="H201" s="16"/>
      <c r="I201" s="16"/>
      <c r="J201" s="16"/>
      <c r="K201" s="16"/>
      <c r="L201" s="16"/>
      <c r="M201" s="16"/>
      <c r="N201" s="18" t="str">
        <f t="shared" si="3"/>
        <v/>
      </c>
      <c r="O201" s="16"/>
    </row>
    <row r="202" spans="1:15" x14ac:dyDescent="0.3">
      <c r="A202" s="16"/>
      <c r="B202" s="16"/>
      <c r="C202" s="16"/>
      <c r="D202" s="18" t="str">
        <f>IFERROR(INDEX('Регистър на риска'!$I:$I,MATCH(A202,'Регистър на риска'!$A:$A,0)),"")</f>
        <v/>
      </c>
      <c r="E202" s="16"/>
      <c r="F202" s="16"/>
      <c r="G202" s="16"/>
      <c r="H202" s="16"/>
      <c r="I202" s="16"/>
      <c r="J202" s="16"/>
      <c r="K202" s="16"/>
      <c r="L202" s="16"/>
      <c r="M202" s="16"/>
      <c r="N202" s="18" t="str">
        <f t="shared" si="3"/>
        <v/>
      </c>
      <c r="O202" s="16"/>
    </row>
    <row r="203" spans="1:15" x14ac:dyDescent="0.3">
      <c r="A203" s="16"/>
      <c r="B203" s="16"/>
      <c r="C203" s="16"/>
      <c r="D203" s="18" t="str">
        <f>IFERROR(INDEX('Регистър на риска'!$I:$I,MATCH(A203,'Регистър на риска'!$A:$A,0)),"")</f>
        <v/>
      </c>
      <c r="E203" s="16"/>
      <c r="F203" s="16"/>
      <c r="G203" s="16"/>
      <c r="H203" s="16"/>
      <c r="I203" s="16"/>
      <c r="J203" s="16"/>
      <c r="K203" s="16"/>
      <c r="L203" s="16"/>
      <c r="M203" s="16"/>
      <c r="N203" s="18" t="str">
        <f t="shared" si="3"/>
        <v/>
      </c>
      <c r="O203" s="16"/>
    </row>
    <row r="204" spans="1:15" x14ac:dyDescent="0.3">
      <c r="D204" t="str">
        <f>IFERROR(INDEX('Регистър на риска'!$I:$I,MATCH(A204,'Регистър на риска'!$A:$A,0)),"")</f>
        <v/>
      </c>
      <c r="N204" t="str">
        <f t="shared" si="3"/>
        <v/>
      </c>
    </row>
    <row r="205" spans="1:15" x14ac:dyDescent="0.3">
      <c r="D205" t="str">
        <f>IFERROR(INDEX('Регистър на риска'!$I:$I,MATCH(A205,'Регистър на риска'!$A:$A,0)),"")</f>
        <v/>
      </c>
      <c r="N205" t="str">
        <f t="shared" si="3"/>
        <v/>
      </c>
    </row>
    <row r="206" spans="1:15" x14ac:dyDescent="0.3">
      <c r="D206" t="str">
        <f>IFERROR(INDEX('Регистър на риска'!$I:$I,MATCH(A206,'Регистър на риска'!$A:$A,0)),"")</f>
        <v/>
      </c>
      <c r="N206" t="str">
        <f t="shared" si="3"/>
        <v/>
      </c>
    </row>
    <row r="207" spans="1:15" x14ac:dyDescent="0.3">
      <c r="D207" t="str">
        <f>IFERROR(INDEX('Регистър на риска'!$I:$I,MATCH(A207,'Регистър на риска'!$A:$A,0)),"")</f>
        <v/>
      </c>
      <c r="N207" t="str">
        <f t="shared" si="3"/>
        <v/>
      </c>
    </row>
    <row r="208" spans="1:15" x14ac:dyDescent="0.3">
      <c r="D208" t="str">
        <f>IFERROR(INDEX('Регистър на риска'!$I:$I,MATCH(A208,'Регистър на риска'!$A:$A,0)),"")</f>
        <v/>
      </c>
      <c r="N208" t="str">
        <f t="shared" si="3"/>
        <v/>
      </c>
    </row>
    <row r="209" spans="4:14" x14ac:dyDescent="0.3">
      <c r="D209" t="str">
        <f>IFERROR(INDEX('Регистър на риска'!$I:$I,MATCH(A209,'Регистър на риска'!$A:$A,0)),"")</f>
        <v/>
      </c>
      <c r="N209" t="str">
        <f t="shared" si="3"/>
        <v/>
      </c>
    </row>
    <row r="210" spans="4:14" x14ac:dyDescent="0.3">
      <c r="D210" t="str">
        <f>IFERROR(INDEX('Регистър на риска'!$I:$I,MATCH(A210,'Регистър на риска'!$A:$A,0)),"")</f>
        <v/>
      </c>
      <c r="N210" t="str">
        <f t="shared" si="3"/>
        <v/>
      </c>
    </row>
  </sheetData>
  <conditionalFormatting sqref="D14:D210">
    <cfRule type="cellIs" dxfId="11" priority="6" operator="between">
      <formula>1</formula>
      <formula>4</formula>
    </cfRule>
    <cfRule type="cellIs" dxfId="10" priority="7" operator="between">
      <formula>5</formula>
      <formula>9</formula>
    </cfRule>
    <cfRule type="cellIs" dxfId="9" priority="8" operator="between">
      <formula>10</formula>
      <formula>15</formula>
    </cfRule>
    <cfRule type="cellIs" dxfId="8" priority="9" operator="between">
      <formula>16</formula>
      <formula>25</formula>
    </cfRule>
  </conditionalFormatting>
  <conditionalFormatting sqref="N2:N210">
    <cfRule type="cellIs" dxfId="7" priority="10" operator="between">
      <formula>1</formula>
      <formula>4</formula>
    </cfRule>
    <cfRule type="cellIs" dxfId="6" priority="11" operator="between">
      <formula>5</formula>
      <formula>9</formula>
    </cfRule>
    <cfRule type="cellIs" dxfId="5" priority="12" operator="between">
      <formula>10</formula>
      <formula>15</formula>
    </cfRule>
    <cfRule type="cellIs" dxfId="4" priority="13" operator="between">
      <formula>16</formula>
      <formula>25</formula>
    </cfRule>
  </conditionalFormatting>
  <conditionalFormatting sqref="D2:D13">
    <cfRule type="cellIs" dxfId="3" priority="1" operator="between">
      <formula>1</formula>
      <formula>4</formula>
    </cfRule>
    <cfRule type="cellIs" dxfId="2" priority="2" operator="between">
      <formula>5</formula>
      <formula>9</formula>
    </cfRule>
    <cfRule type="cellIs" dxfId="1" priority="3" operator="between">
      <formula>10</formula>
      <formula>15</formula>
    </cfRule>
    <cfRule type="cellIs" dxfId="0" priority="4" operator="between">
      <formula>16</formula>
      <formula>25</formula>
    </cfRule>
  </conditionalFormatting>
  <dataValidations count="3">
    <dataValidation type="list" allowBlank="1" sqref="E2:E210">
      <formula1>"намаляване,прехвърляне,избягване,приемане"</formula1>
      <formula2>0</formula2>
    </dataValidation>
    <dataValidation type="list" allowBlank="1" sqref="K2:K210">
      <formula1>"планиран,в процес,внедрен,приет"</formula1>
      <formula2>0</formula2>
    </dataValidation>
    <dataValidation type="list" allowBlank="1" sqref="L2:M210">
      <formula1>"1,2,3,4,5"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Инструкции</vt:lpstr>
      <vt:lpstr>Скали</vt:lpstr>
      <vt:lpstr>Регистър на активите</vt:lpstr>
      <vt:lpstr>Регистър на риска</vt:lpstr>
      <vt:lpstr>План за третиране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borkonora</cp:lastModifiedBy>
  <cp:revision>0</cp:revision>
  <dcterms:created xsi:type="dcterms:W3CDTF">2026-10-07T22:19:43Z</dcterms:created>
  <dcterms:modified xsi:type="dcterms:W3CDTF">2026-10-15T11:04:49Z</dcterms:modified>
  <dc:language>en-US</dc:language>
</cp:coreProperties>
</file>